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工作表1" sheetId="1" r:id="rId3"/>
  </sheets>
</workbook>
</file>

<file path=xl/sharedStrings.xml><?xml version="1.0" encoding="utf-8"?>
<sst xmlns="http://schemas.openxmlformats.org/spreadsheetml/2006/main" count="1597" uniqueCount="405">
  <si>
    <t>案例编号</t>
  </si>
  <si>
    <t>文献编号</t>
  </si>
  <si>
    <t>文章题目</t>
  </si>
  <si>
    <t>作者</t>
  </si>
  <si>
    <t>网具</t>
  </si>
  <si>
    <t>海域</t>
  </si>
  <si>
    <t>季节</t>
  </si>
  <si>
    <t>目标种</t>
  </si>
  <si>
    <t>渔获物种数</t>
  </si>
  <si>
    <t>物种名</t>
  </si>
  <si>
    <t>物种重量占比</t>
  </si>
  <si>
    <t>物种属</t>
  </si>
  <si>
    <t>渤海口虾蛄三重刺网渔获组成及其捕捞性能分析</t>
  </si>
  <si>
    <t>李显森等，2016</t>
  </si>
  <si>
    <t>三重刺网-定置</t>
  </si>
  <si>
    <t>渤海</t>
  </si>
  <si>
    <t>春季</t>
  </si>
  <si>
    <t>口虾蛄</t>
  </si>
  <si>
    <t>虾类</t>
  </si>
  <si>
    <t>鲜明鼓虾</t>
  </si>
  <si>
    <t>其它</t>
  </si>
  <si>
    <t>三重刺网-漂流</t>
  </si>
  <si>
    <t>夏季</t>
  </si>
  <si>
    <t>小黄鱼</t>
  </si>
  <si>
    <t>鱼类</t>
  </si>
  <si>
    <t>六丝矛尾鰕虎鱼</t>
  </si>
  <si>
    <t>黄鮟鱇</t>
  </si>
  <si>
    <t>日本蟳</t>
  </si>
  <si>
    <t>蟹类</t>
  </si>
  <si>
    <t>单片刺网-定置</t>
  </si>
  <si>
    <t>日本鼓虾</t>
  </si>
  <si>
    <t>单片刺网-漂流</t>
  </si>
  <si>
    <t>东海北部桁杆拖虾渔获组成分析</t>
  </si>
  <si>
    <t>张亚洲等，2019</t>
  </si>
  <si>
    <t>桁杆虾拖网</t>
  </si>
  <si>
    <t>东海</t>
  </si>
  <si>
    <t>全年</t>
  </si>
  <si>
    <t>哈氏仿对虾、中华管鞭虾</t>
  </si>
  <si>
    <t>哈氏仿对虾</t>
  </si>
  <si>
    <t>中华管鞭虾</t>
  </si>
  <si>
    <t>秋季南海中南部海域的一次灯光罩网探捕调查</t>
  </si>
  <si>
    <t>张鹏等，2016</t>
  </si>
  <si>
    <t>灯光罩网</t>
  </si>
  <si>
    <t>南海</t>
  </si>
  <si>
    <t>秋季</t>
  </si>
  <si>
    <t>鸢 乌 贼、鲣</t>
  </si>
  <si>
    <t>鸢 乌 贼</t>
  </si>
  <si>
    <t>头足类</t>
  </si>
  <si>
    <t>鲣</t>
  </si>
  <si>
    <t>圆 舵 鲣</t>
  </si>
  <si>
    <t>鲔</t>
  </si>
  <si>
    <t>扁 舵 鲣</t>
  </si>
  <si>
    <t>黄鳍金枪鱼</t>
  </si>
  <si>
    <t>日本乌鲂</t>
  </si>
  <si>
    <t>珠江口水域秋季刺网的渔获组成及多样性分析</t>
  </si>
  <si>
    <t>晏磊等，2016</t>
  </si>
  <si>
    <t>单片刺网</t>
  </si>
  <si>
    <t>不明确</t>
  </si>
  <si>
    <t>无物种质量信息</t>
  </si>
  <si>
    <t>双重刺网</t>
  </si>
  <si>
    <t>三重刺网</t>
  </si>
  <si>
    <t>南海珠江口沿岸张网渔业资源群落结构分析</t>
  </si>
  <si>
    <t>晏磊等，2015</t>
  </si>
  <si>
    <t>张网</t>
  </si>
  <si>
    <t>小杂鱼</t>
  </si>
  <si>
    <t>康氏小公鱼</t>
  </si>
  <si>
    <t>凤鲚</t>
  </si>
  <si>
    <t>直额鲟</t>
  </si>
  <si>
    <t>近缘新对虾</t>
  </si>
  <si>
    <t>黄斑鲾</t>
  </si>
  <si>
    <t>黑尾小沙丁鱼</t>
  </si>
  <si>
    <t>红狼牙鰕虎鱼</t>
  </si>
  <si>
    <t>刀额新对虾</t>
  </si>
  <si>
    <t>斑头舌鳎</t>
  </si>
  <si>
    <t>亨氏仿对虾</t>
  </si>
  <si>
    <t>棘头梅童鱼</t>
  </si>
  <si>
    <t>四线天竺鲷</t>
  </si>
  <si>
    <t>龙头鱼</t>
  </si>
  <si>
    <t>皮氏叫姑鱼</t>
  </si>
  <si>
    <t>斑鰶</t>
  </si>
  <si>
    <t>鲻</t>
  </si>
  <si>
    <t>青岛斋堂岛海域春季双桩竖杆张网网囊网目的选择性</t>
  </si>
  <si>
    <t>李超等，2015</t>
  </si>
  <si>
    <t>30mm菱目网囊</t>
  </si>
  <si>
    <t>黄海</t>
  </si>
  <si>
    <t>玉筋鱼</t>
  </si>
  <si>
    <t>舒氏海龙</t>
  </si>
  <si>
    <t>？？？</t>
  </si>
  <si>
    <t>六丝钝尾虾虎鱼</t>
  </si>
  <si>
    <t>大泷六线鱼</t>
  </si>
  <si>
    <t>赤鼻棱鳀</t>
  </si>
  <si>
    <t>20mm方目网囊</t>
  </si>
  <si>
    <t>30mm方目网囊</t>
  </si>
  <si>
    <t>40mm方目网囊</t>
  </si>
  <si>
    <t>短蛸</t>
  </si>
  <si>
    <t>三疣梭子蟹</t>
  </si>
  <si>
    <t>日本枪乌贼</t>
  </si>
  <si>
    <t>2014年秋季舟山渔场帆张网渔获组成结构及多样性分析</t>
  </si>
  <si>
    <t>李国成等，2014</t>
  </si>
  <si>
    <t>帆张网</t>
  </si>
  <si>
    <t>小黄鱼、带鱼</t>
  </si>
  <si>
    <t>带鱼</t>
  </si>
  <si>
    <t>银鲳</t>
  </si>
  <si>
    <t>龙
头鱼</t>
  </si>
  <si>
    <t>红星梭子蟹</t>
  </si>
  <si>
    <t>鯔鱼</t>
  </si>
  <si>
    <t>海鳗</t>
  </si>
  <si>
    <t>2011年春季南海中南部海域灯光罩网渔业渔获组成的初步分析</t>
  </si>
  <si>
    <t>晏磊等，2014</t>
  </si>
  <si>
    <t>鸢乌贼</t>
  </si>
  <si>
    <t>长体圆鲹</t>
  </si>
  <si>
    <t>湛江近海虾拖网虾蟹类渔获组成</t>
  </si>
  <si>
    <t>杨炳忠等，2014</t>
  </si>
  <si>
    <t>日本囊对虾</t>
  </si>
  <si>
    <t>周氏新对虾</t>
  </si>
  <si>
    <t>秋季舟山渔场桁杆虾拖网渔获组成分析</t>
  </si>
  <si>
    <t>吴勇等，2014</t>
  </si>
  <si>
    <t>哈氏仿对虾、中华管鞭虾、高脊管鞭虾</t>
  </si>
  <si>
    <t>高脊管鞭虾</t>
  </si>
  <si>
    <t>鹰爪虾</t>
  </si>
  <si>
    <t>短吻舌鳎</t>
  </si>
  <si>
    <t>白姑鱼</t>
  </si>
  <si>
    <t>鮸</t>
  </si>
  <si>
    <t>星康吉鳗</t>
  </si>
  <si>
    <t>南海北部马鲛流刺网渔获组成初步分析</t>
  </si>
  <si>
    <t>杨炳忠等，2013</t>
  </si>
  <si>
    <t>漂流单片刺网</t>
  </si>
  <si>
    <t>康氏马鲛</t>
  </si>
  <si>
    <t>白 卜鲔</t>
  </si>
  <si>
    <t>乌鲳</t>
  </si>
  <si>
    <t>扁舵鲣</t>
  </si>
  <si>
    <t>南海北部龙头鱼流刺网渔获组成初步分析</t>
  </si>
  <si>
    <t>杜氏叫姑鱼</t>
  </si>
  <si>
    <t>金色小沙丁鱼</t>
  </si>
  <si>
    <t>鳓</t>
  </si>
  <si>
    <t>大鳞舌鳎</t>
  </si>
  <si>
    <t>闽南渔场桁杆虾拖网作业渔获种类组成</t>
  </si>
  <si>
    <t>刘勇，2011</t>
  </si>
  <si>
    <t>四季</t>
  </si>
  <si>
    <t>哈 氏 仿 对 虾</t>
  </si>
  <si>
    <t>鹰 爪 虾</t>
  </si>
  <si>
    <t>口 虾 蛄</t>
  </si>
  <si>
    <t>二长棘鲷</t>
  </si>
  <si>
    <t>刀额仿对虾</t>
  </si>
  <si>
    <t>须 赤 虾</t>
  </si>
  <si>
    <t>日 本 囊 对 虾</t>
  </si>
  <si>
    <t>条 尾 绯 鲤</t>
  </si>
  <si>
    <t>少 鳞 鱚</t>
  </si>
  <si>
    <t>周 氏 新 对 虾</t>
  </si>
  <si>
    <t>杜 氏 枪 乌 贼</t>
  </si>
  <si>
    <t>大 鳞 舌 鳎</t>
  </si>
  <si>
    <t>何氏鳐</t>
  </si>
  <si>
    <t>闽南渔场蟹笼作业渔获组成和主要种类</t>
  </si>
  <si>
    <t>王语同，2011</t>
  </si>
  <si>
    <t>蟹笼</t>
  </si>
  <si>
    <t>叫姑鱼</t>
  </si>
  <si>
    <t>日本
蟳</t>
  </si>
  <si>
    <t>锈斑蟳</t>
  </si>
  <si>
    <t>网纹裸胸鳝</t>
  </si>
  <si>
    <t>善泳蟳</t>
  </si>
  <si>
    <t>逍遥馒头
蟹</t>
  </si>
  <si>
    <t>拥剑梭子蟹</t>
  </si>
  <si>
    <t>黄河口海域春季和夏季须子网渔获物组成分析</t>
  </si>
  <si>
    <t>高慧良等，2016</t>
  </si>
  <si>
    <t>须子网</t>
  </si>
  <si>
    <t>豆形拳蟹</t>
  </si>
  <si>
    <t>六丝虾虎鱼</t>
  </si>
  <si>
    <t>大口虾虎鱼</t>
  </si>
  <si>
    <t>矛尾复虾虎鱼</t>
  </si>
  <si>
    <t>中华安乐虾</t>
  </si>
  <si>
    <t>纹缟虾虎鱼</t>
  </si>
  <si>
    <t>梭鱼</t>
  </si>
  <si>
    <t>招潮蟹</t>
  </si>
  <si>
    <t>多鳞鱚</t>
  </si>
  <si>
    <t>花鲈</t>
  </si>
  <si>
    <t>日本鳀</t>
  </si>
  <si>
    <t>海州湾双船有翼单囊拖网渔获物组成及选择性分析</t>
  </si>
  <si>
    <t>许庆昌等，2019</t>
  </si>
  <si>
    <t>双船有翼单囊拖网</t>
  </si>
  <si>
    <t>秋季+夏季(质量数据不分开）</t>
  </si>
  <si>
    <t>蓝点马鲛</t>
  </si>
  <si>
    <t>蓝圆鲹</t>
  </si>
  <si>
    <t>海州湾张网渔获物种类组成的时空变化及其主要影响因子</t>
  </si>
  <si>
    <t>唐衍力等，2017</t>
  </si>
  <si>
    <t>春季+秋季</t>
  </si>
  <si>
    <t>尖海龙</t>
  </si>
  <si>
    <t>红狼牙虾虎鱼</t>
  </si>
  <si>
    <t>基于渔捞日志的舟山渔场单拖网渔获量时空特征分析</t>
  </si>
  <si>
    <t>王迎宾等，2013</t>
  </si>
  <si>
    <t>单拖网</t>
  </si>
  <si>
    <t>无数据</t>
  </si>
  <si>
    <t>日本红
娘鱼</t>
  </si>
  <si>
    <t>桁杆拖网网目选择性实验</t>
  </si>
  <si>
    <t>张海鹏等，2018</t>
  </si>
  <si>
    <t>单船单囊桁杆虾拖网</t>
  </si>
  <si>
    <t>葛氏长臂虾</t>
  </si>
  <si>
    <t>凹鳍孔虎鯱鱼</t>
  </si>
  <si>
    <t>白虾</t>
  </si>
  <si>
    <t>扁玉螺</t>
  </si>
  <si>
    <t>贝类？？？</t>
  </si>
  <si>
    <t>尖尾鰕虎鱼</t>
  </si>
  <si>
    <t>焦氏舌鳎</t>
  </si>
  <si>
    <t>脉红螺</t>
  </si>
  <si>
    <t>细鳌虾</t>
  </si>
  <si>
    <t>疣背宽额虾</t>
  </si>
  <si>
    <t>蛏</t>
  </si>
  <si>
    <t>狼鰕虎鱼</t>
  </si>
  <si>
    <t>毛蚶</t>
  </si>
  <si>
    <t>矛尾鰕虎鱼</t>
  </si>
  <si>
    <t>海州湾近岸张网渔获物种类组成和资源利用现状分析</t>
  </si>
  <si>
    <t>唐衍力等，2014</t>
  </si>
  <si>
    <t>海蜇虾</t>
  </si>
  <si>
    <t>双斑蟳</t>
  </si>
  <si>
    <t>长蛸</t>
  </si>
  <si>
    <t>方氏云鳚</t>
  </si>
  <si>
    <t>中国毛虾</t>
  </si>
  <si>
    <t>冬季</t>
  </si>
  <si>
    <t>双喙耳乌贼</t>
  </si>
  <si>
    <t>长丝虾虎鱼</t>
  </si>
  <si>
    <t>浙南沿岸张网渔获物优势种类组成及季节分布</t>
  </si>
  <si>
    <t>洪小括等，2012</t>
  </si>
  <si>
    <t>毛虾</t>
  </si>
  <si>
    <t>虾虎鱼</t>
  </si>
  <si>
    <t>细螯虾</t>
  </si>
  <si>
    <t>双斑虫蟳</t>
  </si>
  <si>
    <t>小公鱼</t>
  </si>
  <si>
    <t>夏季、秋季、冬季</t>
  </si>
  <si>
    <t>细点圆趾蟹</t>
  </si>
  <si>
    <t>黄海北部底拖网选择优化研究</t>
  </si>
  <si>
    <t>周景宇，2017</t>
  </si>
  <si>
    <t>单船有翼单囊拖网</t>
  </si>
  <si>
    <t>绵鳚</t>
  </si>
  <si>
    <t>木叶鲽</t>
  </si>
  <si>
    <t>石鲽</t>
  </si>
  <si>
    <t>绿鳍马面鲀</t>
  </si>
  <si>
    <t>琼州海峡海域张网渔获组成及其对渔业资源的影响</t>
  </si>
  <si>
    <t>陈鸿兰，2015</t>
  </si>
  <si>
    <t>双桩桁杆张网</t>
  </si>
  <si>
    <t>黄斑篮子鱼</t>
  </si>
  <si>
    <t>丽叶鰺</t>
  </si>
  <si>
    <t>基于渔捞日志的海阳市流刺网船渔获状况分析</t>
  </si>
  <si>
    <t>李春芝等，2019</t>
  </si>
  <si>
    <t>三重刺网+单片刺网</t>
  </si>
  <si>
    <t>海蜇、对虾、蓝点马鲛</t>
  </si>
  <si>
    <t>海蜇</t>
  </si>
  <si>
    <t>？？?</t>
  </si>
  <si>
    <t>蛸</t>
  </si>
  <si>
    <t>青鳞小沙丁鱼</t>
  </si>
  <si>
    <t>三 疣 梭 子 蟹</t>
  </si>
  <si>
    <t>日 本 蟳</t>
  </si>
  <si>
    <t>三重刺网+单片刺网+单拖网</t>
  </si>
  <si>
    <t>高 眼 鲽</t>
  </si>
  <si>
    <t>伏休前后舟山渔场单拖船低值杂鱼渔获物组成 比较分析</t>
  </si>
  <si>
    <t>夏一璐等，2015</t>
  </si>
  <si>
    <t>鲐鱼</t>
  </si>
  <si>
    <t>长蛇鲻</t>
  </si>
  <si>
    <t>细条天竺鲷</t>
  </si>
  <si>
    <t>虫鲽</t>
  </si>
  <si>
    <t>黄艘觫</t>
  </si>
  <si>
    <t>尖尾蛇鳗</t>
  </si>
  <si>
    <t>虎鲇</t>
  </si>
  <si>
    <t>黑姑鱼</t>
  </si>
  <si>
    <t>日本红娘鱼</t>
  </si>
  <si>
    <t>少鳞鱚</t>
  </si>
  <si>
    <t>短尾大眼鲷</t>
  </si>
  <si>
    <t>刺鲳</t>
  </si>
  <si>
    <t>半滑舌鳎</t>
  </si>
  <si>
    <t>蓝圆鰺</t>
  </si>
  <si>
    <t>拟穴奇鳗</t>
  </si>
  <si>
    <t>日本海鲂</t>
  </si>
  <si>
    <t>海州湾海洋牧场拖网渔获物营养级分析</t>
  </si>
  <si>
    <t>张硕等，2020</t>
  </si>
  <si>
    <t>单船底拖网</t>
  </si>
  <si>
    <t>威海小石岛人工鱼礁区渔获物组成特征及与
环境因子的关系</t>
  </si>
  <si>
    <t>唐衍力等，2016</t>
  </si>
  <si>
    <t>中国花鲈</t>
  </si>
  <si>
    <t>圆斑星鲽</t>
  </si>
  <si>
    <t>多棘海盘车</t>
  </si>
  <si>
    <t>棘皮类？？？</t>
  </si>
  <si>
    <t>黑鲷</t>
  </si>
  <si>
    <t>长绵鳚</t>
  </si>
  <si>
    <t>斑头鱼</t>
  </si>
  <si>
    <t>许氏平鮋</t>
  </si>
  <si>
    <t>闽南近海定置张网甲壳类渔获物组成及多祥性分析</t>
  </si>
  <si>
    <t>刘勇等，2013</t>
  </si>
  <si>
    <t>双桩有翼单囊张网</t>
  </si>
  <si>
    <t>ロ虾
姑</t>
  </si>
  <si>
    <t>双 斑 蟳</t>
  </si>
  <si>
    <t>矛 形 梭 子 蟹</t>
  </si>
  <si>
    <t>南海新建钢质罩网渔船渔获组成及渔场分析</t>
  </si>
  <si>
    <t>陈森等，2015</t>
  </si>
  <si>
    <t>大型钢质灯光罩网</t>
  </si>
  <si>
    <t>未给出</t>
  </si>
  <si>
    <t>鲹 科鱼类</t>
  </si>
  <si>
    <t>鲭科</t>
  </si>
  <si>
    <t>枪乌贼</t>
  </si>
  <si>
    <t>杭州湾北部张网渔业资源种类组成及群落多样性初步分析</t>
  </si>
  <si>
    <t>王淼等，2013</t>
  </si>
  <si>
    <t>定置张 网</t>
  </si>
  <si>
    <t>全年(2009)</t>
  </si>
  <si>
    <t>凤鲚、中国毛虾</t>
  </si>
  <si>
    <t>龙 头鱼</t>
  </si>
  <si>
    <t>白 虾 属虾类</t>
  </si>
  <si>
    <t>？??</t>
  </si>
  <si>
    <t>全年(2010)</t>
  </si>
  <si>
    <t>全年(2011)</t>
  </si>
  <si>
    <t>基于渔捞日志的海阳近海渔业资源种类组成及生物多样性分析</t>
  </si>
  <si>
    <t>流刺网+定制张网+拖网</t>
  </si>
  <si>
    <t>辽东湾口虾蛄流刺网的渔获选择性研究</t>
  </si>
  <si>
    <t>郭瑞等，2016</t>
  </si>
  <si>
    <t>单片型刺网</t>
  </si>
  <si>
    <t>夏、秋季</t>
  </si>
  <si>
    <t>双重型刺
网</t>
  </si>
  <si>
    <t>江苏省近岸海域鳗苗网兼捕对渔业资源
损害性的初步研究</t>
  </si>
  <si>
    <t>张虎等，2019</t>
  </si>
  <si>
    <t>浮动式张网</t>
  </si>
  <si>
    <t>春天</t>
  </si>
  <si>
    <t>鳗鲡</t>
  </si>
  <si>
    <t>水母虾</t>
  </si>
  <si>
    <t>脊尾白虾</t>
  </si>
  <si>
    <t>大银鱼</t>
  </si>
  <si>
    <t>厦门同安湾定置网捕获鱼类的多样性及营养级特征</t>
  </si>
  <si>
    <t>廖建基等，2014</t>
  </si>
  <si>
    <t>定置网</t>
  </si>
  <si>
    <t>2016—2018年山东半岛东南部海阳、文登、乳山海域渔获物组成分析</t>
  </si>
  <si>
    <t>刺网+单拖网+双拖网+定制网</t>
  </si>
  <si>
    <t>33(2016年）</t>
  </si>
  <si>
    <t>鳀鱼</t>
  </si>
  <si>
    <t>丰度数据</t>
  </si>
  <si>
    <t>沙蚕</t>
  </si>
  <si>
    <t>黄鲫</t>
  </si>
  <si>
    <t>细纹狮子鱼</t>
  </si>
  <si>
    <t>青鳞小沙丁</t>
  </si>
  <si>
    <t>32(2017年）</t>
  </si>
  <si>
    <t>大头狗母鱼</t>
  </si>
  <si>
    <t>33(2018年）</t>
  </si>
  <si>
    <t>南海北部深海区灯光罩网渔获物组成及
渔获率的时空分布</t>
  </si>
  <si>
    <t>粟 丽等，2018</t>
  </si>
  <si>
    <t>鸢乌贼、圆舵鲣</t>
  </si>
  <si>
    <t>圆舵鲣</t>
  </si>
  <si>
    <t>近海蟹笼两种主要渔获蟹类的渔业生物学特性</t>
  </si>
  <si>
    <t>张健等，2015</t>
  </si>
  <si>
    <t>夏季、冬季</t>
  </si>
  <si>
    <t>三疣梭子蟹、红星梭子蟹</t>
  </si>
  <si>
    <t>折叠式渔笼作业渔获种类组成</t>
  </si>
  <si>
    <t>洪明进等，2010</t>
  </si>
  <si>
    <t>折叠式渔笼</t>
  </si>
  <si>
    <t>海州湾秋季坛子网网目选择性研究</t>
  </si>
  <si>
    <t>许庆昌等，2020</t>
  </si>
  <si>
    <t>双桩竖杆张网</t>
  </si>
  <si>
    <t>基于刺网和地笼渔获物的人工鱼礁区资源丰度比较研究</t>
  </si>
  <si>
    <t>方光杰等，2018</t>
  </si>
  <si>
    <t>地笼+三重刺网</t>
  </si>
  <si>
    <t>春、夏、冬季</t>
  </si>
  <si>
    <t>南海深水延绳钓探捕渔获组成与数量分布</t>
  </si>
  <si>
    <t>冯波等，2015</t>
  </si>
  <si>
    <t>延绳钓</t>
  </si>
  <si>
    <t>大眼金枪鱼</t>
  </si>
  <si>
    <t>帆蜥鱼</t>
  </si>
  <si>
    <t>蛇鲭</t>
  </si>
  <si>
    <t>凹尾长鳍乌鲂</t>
  </si>
  <si>
    <t>黑魟</t>
  </si>
  <si>
    <t>斑点月鱼</t>
  </si>
  <si>
    <t>刺鲅</t>
  </si>
  <si>
    <t>大青鲨</t>
  </si>
  <si>
    <t>箭鱼</t>
  </si>
  <si>
    <t>浅海长尾鲨</t>
  </si>
  <si>
    <t>浙江省桁杆单锚型毛虾张网渔具渔法调查分析</t>
  </si>
  <si>
    <t>王 皓等，2016</t>
  </si>
  <si>
    <t>桁杆单锚张网</t>
  </si>
  <si>
    <t>东海北部帆张网渔业现状分析</t>
  </si>
  <si>
    <t>孙婉等，2018</t>
  </si>
  <si>
    <t>无</t>
  </si>
  <si>
    <t>无具体文献内容</t>
  </si>
  <si>
    <t>舟山灯光敷网渔业现状分析与研究</t>
  </si>
  <si>
    <t>张 龙等，2015</t>
  </si>
  <si>
    <t>灯光敷网</t>
  </si>
  <si>
    <t>鲐鱼、扁鮀鲣、带鱼、剑尖枪乌贼</t>
  </si>
  <si>
    <t>长江口和杭州湾鳗苗定制网中鱼类组成分析</t>
  </si>
  <si>
    <t>葛成冈等，2011</t>
  </si>
  <si>
    <t>定制网</t>
  </si>
  <si>
    <t>鳗鱼</t>
  </si>
  <si>
    <t>辽东湾不同型刺网捕捞性能的比较</t>
  </si>
  <si>
    <t>邢彬彬等，2017</t>
  </si>
  <si>
    <t>江苏近岸海域鱼类组成和群聚时空变化（无文献）</t>
  </si>
  <si>
    <t>张虎等，2018</t>
  </si>
  <si>
    <t>底拖网</t>
  </si>
  <si>
    <t>春、夏、秋季</t>
  </si>
  <si>
    <t>丁香鱼围网副渔获物鱼类组成及分布特征</t>
  </si>
  <si>
    <t>朱海晨等，2021</t>
  </si>
  <si>
    <t>丁香鱼围网</t>
  </si>
  <si>
    <t>春、夏季</t>
  </si>
  <si>
    <t>丁香鱼</t>
  </si>
  <si>
    <t>浙江嵊泗单桩帆张网渔具渔法调查分析</t>
  </si>
  <si>
    <t>常云峰等，2018</t>
  </si>
  <si>
    <t>单桩张纲张网</t>
  </si>
  <si>
    <t>棘头梅童鱼、龙头鱼、黄鲫</t>
  </si>
  <si>
    <t>秋季莱州湾弓子网网囊网目尺寸选择性研究</t>
  </si>
  <si>
    <t>单船框架拖网</t>
  </si>
  <si>
    <t>口虾蛄、鹰爪虾</t>
  </si>
  <si>
    <t>鲬</t>
  </si>
  <si>
    <t>口
虾蛄</t>
  </si>
  <si>
    <t>海阳近海流刺网渔获物组成及多样性季节变化分析</t>
  </si>
  <si>
    <t>张玉钦等，2016</t>
  </si>
  <si>
    <t>流刺 网</t>
  </si>
</sst>
</file>

<file path=xl/styles.xml><?xml version="1.0" encoding="utf-8"?>
<styleSheet xmlns="http://schemas.openxmlformats.org/spreadsheetml/2006/main">
  <numFmts count="2">
    <numFmt numFmtId="164" formatCode="0.00_);[Red]\(0.00\)"/>
    <numFmt numFmtId="165" formatCode="#,##0.00_ "/>
  </numFmts>
  <fonts count="9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微软雅黑"/>
      <sz val="10.0"/>
    </font>
    <font>
      <name val="微软雅黑"/>
      <sz val="10.0"/>
      <color rgb="000000"/>
    </font>
    <font>
      <name val="Arial"/>
      <sz val="10.0"/>
    </font>
    <font>
      <name val="Arial"/>
      <sz val="10.0"/>
      <color rgb="FF0000"/>
    </font>
    <font>
      <name val="Microsoft yahei"/>
      <sz val="10.0"/>
      <color rgb="333333"/>
    </font>
    <font>
      <name val="Arial"/>
      <sz val="10.0"/>
      <color rgb="333333"/>
    </font>
    <font>
      <name val="Arial"/>
      <sz val="10.0"/>
      <color rgb="222222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true" applyFont="true">
      <alignment wrapText="false" vertical="center"/>
    </xf>
    <xf numFmtId="0" fontId="0" fillId="0" borderId="0" xfId="0" applyNumberFormat="true">
      <alignment wrapText="false"/>
    </xf>
    <xf numFmtId="0" fontId="2" fillId="0" borderId="0" xfId="0" applyNumberFormat="true" applyFont="true">
      <alignment wrapText="false" vertical="center"/>
    </xf>
    <xf numFmtId="0" fontId="3" fillId="0" borderId="0" xfId="0" applyNumberFormat="true" applyFont="true">
      <alignment wrapText="false" vertical="center"/>
    </xf>
    <xf numFmtId="9" fontId="1" fillId="0" borderId="0" xfId="0" applyNumberFormat="true" applyFont="true">
      <alignment wrapText="false" horizontal="center" vertical="center"/>
    </xf>
    <xf numFmtId="164" fontId="1" fillId="0" borderId="0" xfId="0" applyNumberFormat="true" applyFont="true">
      <alignment wrapText="false" horizontal="center" vertical="center"/>
    </xf>
    <xf numFmtId="165" fontId="3" fillId="0" borderId="0" xfId="0" applyNumberFormat="true" applyFont="true">
      <alignment wrapText="false" horizontal="center" vertical="center"/>
    </xf>
    <xf numFmtId="0" fontId="4" fillId="0" borderId="0" xfId="0" applyNumberFormat="true" applyFont="true">
      <alignment wrapText="false" vertical="center"/>
    </xf>
    <xf numFmtId="164" fontId="2" fillId="0" borderId="0" xfId="0" applyNumberFormat="true" applyFont="true">
      <alignment wrapText="false" horizontal="center" vertical="center"/>
    </xf>
    <xf numFmtId="0" fontId="1" fillId="0" borderId="0" xfId="0" applyNumberFormat="true" applyFont="true">
      <alignment wrapText="false" horizontal="center" vertical="center"/>
    </xf>
    <xf numFmtId="164" fontId="2" fillId="0" borderId="0" xfId="0" applyNumberFormat="true" applyFont="true">
      <alignment wrapText="false" vertical="center"/>
    </xf>
    <xf numFmtId="10" fontId="3" fillId="0" borderId="0" xfId="0" applyNumberFormat="true" applyFont="true">
      <alignment wrapText="false" horizontal="center" vertical="center"/>
    </xf>
    <xf numFmtId="0" fontId="1" fillId="0" borderId="0" xfId="0" applyNumberFormat="true" applyFont="true">
      <alignment wrapText="false" horizontal="right" vertical="center"/>
    </xf>
    <xf numFmtId="9" fontId="3" fillId="0" borderId="0" xfId="0" applyNumberFormat="true" applyFont="true">
      <alignment wrapText="false" horizontal="center" vertical="center"/>
    </xf>
    <xf numFmtId="0" fontId="3" fillId="0" borderId="0" xfId="0" applyNumberFormat="true" applyFont="true">
      <alignment wrapText="false" horizontal="center" vertical="center"/>
    </xf>
    <xf numFmtId="0" fontId="1" fillId="0" borderId="0" xfId="0" applyNumberFormat="true" applyFont="true">
      <alignment wrapText="true" vertical="center"/>
    </xf>
    <xf numFmtId="0" fontId="5" fillId="0" borderId="0" xfId="0" applyNumberFormat="true" applyFont="true">
      <alignment wrapText="false" vertical="center"/>
    </xf>
    <xf numFmtId="164" fontId="1" fillId="0" borderId="0" xfId="0" applyNumberFormat="true" applyFont="true">
      <alignment wrapText="false" vertical="center"/>
    </xf>
    <xf numFmtId="0" fontId="6" fillId="0" borderId="0" xfId="0" applyNumberFormat="true" applyFont="true">
      <alignment wrapText="false" vertical="center"/>
    </xf>
    <xf numFmtId="0" fontId="7" fillId="0" borderId="0" xfId="0" applyNumberFormat="true" applyFont="true">
      <alignment wrapText="false" vertical="center"/>
    </xf>
    <xf numFmtId="0" fontId="8" fillId="0" borderId="0" xfId="0" applyNumberFormat="true" applyFont="true">
      <alignment wrapText="false" vertical="center"/>
    </xf>
    <xf numFmtId="0" fontId="1" fillId="3" borderId="0" xfId="0" applyNumberFormat="true" applyFont="true" applyFill="true">
      <alignment wrapText="false" vertical="center"/>
    </xf>
    <xf numFmtId="0" fontId="3" fillId="3" borderId="0" xfId="0" applyNumberFormat="true" applyFont="true" applyFill="true">
      <alignment wrapText="false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true" workbookViewId="0"/>
  </sheetViews>
  <cols>
    <col min="1" max="1" width="8.5703125" hidden="false" customWidth="true"/>
    <col min="2" max="2" width="8.28515625" hidden="false" customWidth="true"/>
    <col min="3" max="3" width="21.140625" hidden="false" customWidth="true"/>
    <col min="4" max="4" width="12.5703125" hidden="false" customWidth="true"/>
    <col min="5" max="5" width="11.85546875" hidden="false" customWidth="true"/>
    <col min="6" max="6" width="5.5703125" hidden="false" customWidth="true"/>
    <col min="7" max="7" width="7.7109375" hidden="false" customWidth="true"/>
    <col min="8" max="8" width="18.0" hidden="false" customWidth="true"/>
    <col min="9" max="9" width="8.0" hidden="false" customWidth="false"/>
    <col min="10" max="10" width="8.0" hidden="false" customWidth="false"/>
    <col min="11" max="11" width="11.7109375" hidden="false" customWidth="true"/>
    <col min="12" max="12" width="8.0" hidden="false" customWidth="false"/>
    <col min="13" max="13" width="8.0" hidden="false" customWidth="false"/>
    <col min="14" max="14" width="8.0" hidden="false" customWidth="fals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  <col min="27" max="27" width="8.0" hidden="false" customWidth="false"/>
    <col min="28" max="28" width="8.0" hidden="false" customWidth="false"/>
    <col min="29" max="29" width="8.0" hidden="false" customWidth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n">
        <v>1.0</v>
      </c>
      <c r="B2" s="4" t="n">
        <v>1.0</v>
      </c>
      <c r="C2" s="1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4" t="n">
        <v>19.0</v>
      </c>
      <c r="J2" s="1" t="s">
        <v>17</v>
      </c>
      <c r="K2" s="6" t="n">
        <f>338/360</f>
        <v>0.0</v>
      </c>
      <c r="L2" s="1" t="s">
        <v>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3"/>
      <c r="C3" s="3"/>
      <c r="D3" s="3"/>
      <c r="E3" s="3"/>
      <c r="F3" s="3"/>
      <c r="G3" s="3"/>
      <c r="H3" s="3"/>
      <c r="I3" s="3"/>
      <c r="J3" s="1" t="s">
        <v>19</v>
      </c>
      <c r="K3" s="6" t="n">
        <f>12/360</f>
        <v>0.0</v>
      </c>
      <c r="L3" s="1" t="s">
        <v>18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4"/>
      <c r="C4" s="5"/>
      <c r="D4" s="5"/>
      <c r="E4" s="5"/>
      <c r="F4" s="5"/>
      <c r="G4" s="5"/>
      <c r="H4" s="5"/>
      <c r="I4" s="4"/>
      <c r="J4" s="1" t="s">
        <v>20</v>
      </c>
      <c r="K4" s="6" t="n">
        <v>0.03</v>
      </c>
      <c r="L4" s="1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 t="n">
        <v>2.0</v>
      </c>
      <c r="B5" s="4" t="n">
        <v>1.0</v>
      </c>
      <c r="C5" s="1" t="s">
        <v>12</v>
      </c>
      <c r="D5" s="5" t="s">
        <v>13</v>
      </c>
      <c r="E5" s="5" t="s">
        <v>21</v>
      </c>
      <c r="F5" s="5" t="s">
        <v>15</v>
      </c>
      <c r="G5" s="5" t="s">
        <v>22</v>
      </c>
      <c r="H5" s="5" t="s">
        <v>17</v>
      </c>
      <c r="I5" s="4" t="n">
        <v>19.0</v>
      </c>
      <c r="J5" s="1" t="s">
        <v>17</v>
      </c>
      <c r="K5" s="6" t="n">
        <f>284/360</f>
        <v>0.0</v>
      </c>
      <c r="L5" s="1" t="s">
        <v>18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3"/>
      <c r="B6" s="4"/>
      <c r="C6" s="5"/>
      <c r="D6" s="5"/>
      <c r="E6" s="5"/>
      <c r="F6" s="5"/>
      <c r="G6" s="5"/>
      <c r="H6" s="5"/>
      <c r="I6" s="4"/>
      <c r="J6" s="1" t="s">
        <v>23</v>
      </c>
      <c r="K6" s="6" t="n">
        <f>19/360</f>
        <v>0.0</v>
      </c>
      <c r="L6" s="1" t="s">
        <v>24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3"/>
      <c r="B7" s="4"/>
      <c r="C7" s="5"/>
      <c r="D7" s="5"/>
      <c r="E7" s="5"/>
      <c r="F7" s="5"/>
      <c r="G7" s="5"/>
      <c r="H7" s="5"/>
      <c r="I7" s="4"/>
      <c r="J7" s="1" t="s">
        <v>25</v>
      </c>
      <c r="K7" s="6" t="n">
        <f>7/360</f>
        <v>0.0</v>
      </c>
      <c r="L7" s="1" t="s">
        <v>24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3"/>
      <c r="B8" s="4"/>
      <c r="C8" s="5"/>
      <c r="D8" s="5"/>
      <c r="E8" s="5"/>
      <c r="F8" s="5"/>
      <c r="G8" s="5"/>
      <c r="H8" s="5"/>
      <c r="I8" s="4"/>
      <c r="J8" s="1" t="s">
        <v>26</v>
      </c>
      <c r="K8" s="6" t="n">
        <f>19/360</f>
        <v>0.0</v>
      </c>
      <c r="L8" s="1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4"/>
      <c r="C9" s="5"/>
      <c r="D9" s="5"/>
      <c r="E9" s="5"/>
      <c r="F9" s="5"/>
      <c r="G9" s="5"/>
      <c r="H9" s="5"/>
      <c r="I9" s="4"/>
      <c r="J9" s="1" t="s">
        <v>19</v>
      </c>
      <c r="K9" s="6" t="n">
        <v>0.05</v>
      </c>
      <c r="L9" s="1" t="s">
        <v>18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"/>
      <c r="B10" s="4"/>
      <c r="C10" s="5"/>
      <c r="D10" s="5"/>
      <c r="E10" s="5"/>
      <c r="F10" s="5"/>
      <c r="G10" s="5"/>
      <c r="H10" s="5"/>
      <c r="I10" s="4"/>
      <c r="J10" s="1" t="s">
        <v>27</v>
      </c>
      <c r="K10" s="6" t="n">
        <f>5/360</f>
        <v>0.0</v>
      </c>
      <c r="L10" s="1" t="s">
        <v>28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3"/>
      <c r="B11" s="4"/>
      <c r="C11" s="5"/>
      <c r="D11" s="5"/>
      <c r="E11" s="5"/>
      <c r="F11" s="5"/>
      <c r="G11" s="5"/>
      <c r="H11" s="5"/>
      <c r="I11" s="4"/>
      <c r="J11" s="1" t="s">
        <v>20</v>
      </c>
      <c r="K11" s="6" t="n">
        <f>7/360</f>
        <v>0.0</v>
      </c>
      <c r="L11" s="1" t="s">
        <v>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3" t="n">
        <v>3.0</v>
      </c>
      <c r="B12" s="4" t="n">
        <v>1.0</v>
      </c>
      <c r="C12" s="1" t="s">
        <v>12</v>
      </c>
      <c r="D12" s="5" t="s">
        <v>13</v>
      </c>
      <c r="E12" s="5" t="s">
        <v>29</v>
      </c>
      <c r="F12" s="5" t="s">
        <v>15</v>
      </c>
      <c r="G12" s="5" t="s">
        <v>16</v>
      </c>
      <c r="H12" s="5" t="s">
        <v>17</v>
      </c>
      <c r="I12" s="4" t="n">
        <v>3.0</v>
      </c>
      <c r="J12" s="1" t="s">
        <v>17</v>
      </c>
      <c r="K12" s="6" t="n">
        <f>345/360</f>
        <v>0.0</v>
      </c>
      <c r="L12" s="1" t="s">
        <v>18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3"/>
      <c r="B13" s="4"/>
      <c r="C13" s="5"/>
      <c r="D13" s="5"/>
      <c r="E13" s="5"/>
      <c r="F13" s="5"/>
      <c r="G13" s="5"/>
      <c r="H13" s="5"/>
      <c r="I13" s="4"/>
      <c r="J13" s="1" t="s">
        <v>19</v>
      </c>
      <c r="K13" s="6" t="n">
        <f>14/360</f>
        <v>0.0</v>
      </c>
      <c r="L13" s="1" t="s">
        <v>18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4"/>
      <c r="C14" s="5"/>
      <c r="D14" s="5"/>
      <c r="E14" s="5"/>
      <c r="F14" s="5"/>
      <c r="G14" s="5"/>
      <c r="H14" s="5"/>
      <c r="I14" s="4"/>
      <c r="J14" s="1" t="s">
        <v>30</v>
      </c>
      <c r="K14" s="6" t="n">
        <v>0.0</v>
      </c>
      <c r="L14" s="1" t="s">
        <v>18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3" t="n">
        <v>4.0</v>
      </c>
      <c r="B15" s="4" t="n">
        <v>1.0</v>
      </c>
      <c r="C15" s="1" t="s">
        <v>12</v>
      </c>
      <c r="D15" s="5" t="s">
        <v>13</v>
      </c>
      <c r="E15" s="5" t="s">
        <v>31</v>
      </c>
      <c r="F15" s="5" t="s">
        <v>15</v>
      </c>
      <c r="G15" s="5" t="s">
        <v>22</v>
      </c>
      <c r="H15" s="5" t="s">
        <v>17</v>
      </c>
      <c r="I15" s="4" t="n">
        <v>6.0</v>
      </c>
      <c r="J15" s="1" t="s">
        <v>17</v>
      </c>
      <c r="K15" s="6" t="n">
        <f>286/360</f>
        <v>0.0</v>
      </c>
      <c r="L15" s="1" t="s">
        <v>18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3"/>
      <c r="B16" s="4"/>
      <c r="C16" s="5"/>
      <c r="D16" s="5"/>
      <c r="E16" s="5"/>
      <c r="F16" s="5"/>
      <c r="G16" s="5"/>
      <c r="H16" s="5"/>
      <c r="I16" s="4"/>
      <c r="J16" s="1" t="s">
        <v>23</v>
      </c>
      <c r="K16" s="6" t="n">
        <f>64/360</f>
        <v>0.0</v>
      </c>
      <c r="L16" s="1" t="s">
        <v>24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"/>
      <c r="B17" s="4"/>
      <c r="C17" s="5"/>
      <c r="D17" s="5"/>
      <c r="E17" s="5"/>
      <c r="F17" s="5"/>
      <c r="G17" s="5"/>
      <c r="H17" s="5"/>
      <c r="I17" s="4"/>
      <c r="J17" s="1" t="s">
        <v>25</v>
      </c>
      <c r="K17" s="6" t="n">
        <f>4/360</f>
        <v>0.0</v>
      </c>
      <c r="L17" s="1" t="s">
        <v>24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"/>
      <c r="B18" s="4"/>
      <c r="C18" s="5"/>
      <c r="D18" s="5"/>
      <c r="E18" s="5"/>
      <c r="F18" s="5"/>
      <c r="G18" s="5"/>
      <c r="H18" s="5"/>
      <c r="I18" s="4"/>
      <c r="J18" s="1" t="s">
        <v>20</v>
      </c>
      <c r="K18" s="6" t="n">
        <f>1-SUM(K15:K17)</f>
        <v>0.0</v>
      </c>
      <c r="L18" s="1" t="s">
        <v>20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" t="n">
        <v>5.0</v>
      </c>
      <c r="B19" s="4" t="n">
        <v>2.0</v>
      </c>
      <c r="C19" s="1" t="s">
        <v>32</v>
      </c>
      <c r="D19" s="5" t="s">
        <v>33</v>
      </c>
      <c r="E19" s="1" t="s">
        <v>34</v>
      </c>
      <c r="F19" s="1" t="s">
        <v>35</v>
      </c>
      <c r="G19" s="1" t="s">
        <v>36</v>
      </c>
      <c r="H19" s="1" t="s">
        <v>37</v>
      </c>
      <c r="I19" s="4" t="n">
        <v>135.0</v>
      </c>
      <c r="J19" s="2" t="s">
        <v>38</v>
      </c>
      <c r="K19" s="7" t="n">
        <v>0.12</v>
      </c>
      <c r="L19" s="1" t="s">
        <v>18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"/>
      <c r="B20" s="4"/>
      <c r="C20" s="5"/>
      <c r="D20" s="5"/>
      <c r="E20" s="5"/>
      <c r="F20" s="5"/>
      <c r="G20" s="5"/>
      <c r="H20" s="5"/>
      <c r="I20" s="4"/>
      <c r="J20" s="1" t="s">
        <v>39</v>
      </c>
      <c r="K20" s="6" t="n">
        <v>0.06</v>
      </c>
      <c r="L20" s="1" t="s">
        <v>18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"/>
      <c r="B21" s="4"/>
      <c r="C21" s="5"/>
      <c r="D21" s="5"/>
      <c r="E21" s="5"/>
      <c r="F21" s="5"/>
      <c r="G21" s="5"/>
      <c r="H21" s="5"/>
      <c r="I21" s="4"/>
      <c r="J21" s="1" t="s">
        <v>20</v>
      </c>
      <c r="K21" s="6" t="n">
        <v>0.82</v>
      </c>
      <c r="L21" s="1" t="s">
        <v>20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" t="n">
        <v>6.0</v>
      </c>
      <c r="B22" s="4" t="n">
        <v>3.0</v>
      </c>
      <c r="C22" s="4" t="s">
        <v>40</v>
      </c>
      <c r="D22" s="1" t="s">
        <v>41</v>
      </c>
      <c r="E22" s="8" t="s">
        <v>42</v>
      </c>
      <c r="F22" s="1" t="s">
        <v>43</v>
      </c>
      <c r="G22" s="1" t="s">
        <v>44</v>
      </c>
      <c r="H22" s="1" t="s">
        <v>45</v>
      </c>
      <c r="I22" s="4" t="n">
        <v>92.0</v>
      </c>
      <c r="J22" s="2" t="s">
        <v>46</v>
      </c>
      <c r="K22" s="6" t="n">
        <v>0.48</v>
      </c>
      <c r="L22" s="1" t="s">
        <v>47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"/>
      <c r="B23" s="4"/>
      <c r="C23" s="4"/>
      <c r="D23" s="4"/>
      <c r="E23" s="4"/>
      <c r="F23" s="4"/>
      <c r="G23" s="4"/>
      <c r="H23" s="4"/>
      <c r="I23" s="4"/>
      <c r="J23" s="2" t="s">
        <v>48</v>
      </c>
      <c r="K23" s="9" t="n">
        <v>0.32</v>
      </c>
      <c r="L23" s="1" t="s">
        <v>24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"/>
      <c r="B24" s="4"/>
      <c r="C24" s="4"/>
      <c r="D24" s="4"/>
      <c r="E24" s="4"/>
      <c r="F24" s="4"/>
      <c r="G24" s="4"/>
      <c r="H24" s="4"/>
      <c r="I24" s="4"/>
      <c r="J24" s="2" t="s">
        <v>49</v>
      </c>
      <c r="K24" s="9" t="n">
        <v>0.07</v>
      </c>
      <c r="L24" s="1" t="s">
        <v>24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"/>
      <c r="B25" s="4"/>
      <c r="C25" s="4"/>
      <c r="D25" s="4"/>
      <c r="E25" s="4"/>
      <c r="F25" s="4"/>
      <c r="G25" s="4"/>
      <c r="H25" s="4"/>
      <c r="I25" s="4"/>
      <c r="J25" s="2" t="s">
        <v>50</v>
      </c>
      <c r="K25" s="9" t="n">
        <v>0.04</v>
      </c>
      <c r="L25" s="1" t="s">
        <v>24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"/>
      <c r="B26" s="4"/>
      <c r="C26" s="4"/>
      <c r="D26" s="4"/>
      <c r="E26" s="4"/>
      <c r="F26" s="4"/>
      <c r="G26" s="4"/>
      <c r="H26" s="4"/>
      <c r="I26" s="4"/>
      <c r="J26" s="2" t="s">
        <v>51</v>
      </c>
      <c r="K26" s="9" t="n">
        <v>0.03</v>
      </c>
      <c r="L26" s="1" t="s">
        <v>24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3"/>
      <c r="B27" s="4"/>
      <c r="C27" s="4"/>
      <c r="D27" s="4"/>
      <c r="E27" s="4"/>
      <c r="F27" s="4"/>
      <c r="G27" s="4"/>
      <c r="H27" s="4"/>
      <c r="I27" s="4"/>
      <c r="J27" s="1" t="s">
        <v>52</v>
      </c>
      <c r="K27" s="9" t="n">
        <v>0.01</v>
      </c>
      <c r="L27" s="1" t="s">
        <v>24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3"/>
      <c r="B28" s="4"/>
      <c r="C28" s="4"/>
      <c r="D28" s="4"/>
      <c r="E28" s="4"/>
      <c r="F28" s="4"/>
      <c r="G28" s="4"/>
      <c r="H28" s="4"/>
      <c r="I28" s="4"/>
      <c r="J28" s="1" t="s">
        <v>53</v>
      </c>
      <c r="K28" s="9" t="n">
        <v>0.01</v>
      </c>
      <c r="L28" s="1" t="s">
        <v>24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3"/>
      <c r="B29" s="4"/>
      <c r="C29" s="4"/>
      <c r="D29" s="4"/>
      <c r="E29" s="4"/>
      <c r="F29" s="4"/>
      <c r="G29" s="4"/>
      <c r="H29" s="4"/>
      <c r="I29" s="4"/>
      <c r="J29" s="1" t="s">
        <v>20</v>
      </c>
      <c r="K29" s="9" t="n">
        <v>0.04</v>
      </c>
      <c r="L29" s="1" t="s">
        <v>20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3" t="n">
        <v>7.0</v>
      </c>
      <c r="B30" s="4" t="n">
        <v>4.0</v>
      </c>
      <c r="C30" s="4" t="s">
        <v>54</v>
      </c>
      <c r="D30" s="1" t="s">
        <v>55</v>
      </c>
      <c r="E30" s="4" t="s">
        <v>56</v>
      </c>
      <c r="F30" s="1" t="s">
        <v>43</v>
      </c>
      <c r="G30" s="1" t="s">
        <v>44</v>
      </c>
      <c r="H30" s="1" t="s">
        <v>57</v>
      </c>
      <c r="I30" s="4" t="n">
        <v>43.0</v>
      </c>
      <c r="J30" s="1" t="s">
        <v>58</v>
      </c>
      <c r="K30" s="10" t="s">
        <v>58</v>
      </c>
      <c r="L30" s="10" t="s">
        <v>58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3" t="n">
        <v>8.0</v>
      </c>
      <c r="B31" s="4" t="n">
        <v>4.0</v>
      </c>
      <c r="C31" s="4" t="s">
        <v>54</v>
      </c>
      <c r="D31" s="1" t="s">
        <v>55</v>
      </c>
      <c r="E31" s="4" t="s">
        <v>59</v>
      </c>
      <c r="F31" s="1" t="s">
        <v>43</v>
      </c>
      <c r="G31" s="1" t="s">
        <v>44</v>
      </c>
      <c r="H31" s="1" t="s">
        <v>57</v>
      </c>
      <c r="I31" s="4" t="n">
        <v>48.0</v>
      </c>
      <c r="J31" s="1" t="s">
        <v>58</v>
      </c>
      <c r="K31" s="10" t="s">
        <v>58</v>
      </c>
      <c r="L31" s="10" t="s">
        <v>58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3" t="n">
        <v>9.0</v>
      </c>
      <c r="B32" s="4" t="n">
        <v>4.0</v>
      </c>
      <c r="C32" s="4" t="s">
        <v>54</v>
      </c>
      <c r="D32" s="1" t="s">
        <v>55</v>
      </c>
      <c r="E32" s="4" t="s">
        <v>60</v>
      </c>
      <c r="F32" s="1" t="s">
        <v>43</v>
      </c>
      <c r="G32" s="1" t="s">
        <v>44</v>
      </c>
      <c r="H32" s="1" t="s">
        <v>57</v>
      </c>
      <c r="I32" s="4" t="n">
        <v>57.0</v>
      </c>
      <c r="J32" s="1" t="s">
        <v>58</v>
      </c>
      <c r="K32" s="10" t="s">
        <v>58</v>
      </c>
      <c r="L32" s="10" t="s">
        <v>58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3" t="n">
        <v>10.0</v>
      </c>
      <c r="B33" s="4" t="n">
        <v>5.0</v>
      </c>
      <c r="C33" s="4" t="s">
        <v>61</v>
      </c>
      <c r="D33" s="1" t="s">
        <v>62</v>
      </c>
      <c r="E33" s="4" t="s">
        <v>63</v>
      </c>
      <c r="F33" s="1" t="s">
        <v>43</v>
      </c>
      <c r="G33" s="1" t="s">
        <v>44</v>
      </c>
      <c r="H33" s="1" t="s">
        <v>57</v>
      </c>
      <c r="I33" s="4" t="n">
        <v>46.0</v>
      </c>
      <c r="J33" s="2" t="s">
        <v>64</v>
      </c>
      <c r="K33" s="11" t="n">
        <v>0.49</v>
      </c>
      <c r="L33" s="1" t="s">
        <v>24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3"/>
      <c r="B34" s="4"/>
      <c r="C34" s="4"/>
      <c r="D34" s="4"/>
      <c r="E34" s="4"/>
      <c r="F34" s="4"/>
      <c r="G34" s="4"/>
      <c r="H34" s="4"/>
      <c r="I34" s="4"/>
      <c r="J34" s="2" t="s">
        <v>65</v>
      </c>
      <c r="K34" s="11" t="n">
        <v>0.02</v>
      </c>
      <c r="L34" s="1" t="s">
        <v>24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3"/>
      <c r="B35" s="4"/>
      <c r="C35" s="12"/>
      <c r="D35" s="12"/>
      <c r="E35" s="12"/>
      <c r="F35" s="12"/>
      <c r="G35" s="12"/>
      <c r="H35" s="12"/>
      <c r="I35" s="4"/>
      <c r="J35" s="2" t="s">
        <v>66</v>
      </c>
      <c r="K35" s="11" t="n">
        <v>0.04</v>
      </c>
      <c r="L35" s="1" t="s">
        <v>24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3"/>
      <c r="B36" s="4"/>
      <c r="C36" s="12"/>
      <c r="D36" s="12"/>
      <c r="E36" s="12"/>
      <c r="F36" s="12"/>
      <c r="G36" s="12"/>
      <c r="H36" s="12"/>
      <c r="I36" s="4"/>
      <c r="J36" s="2" t="s">
        <v>67</v>
      </c>
      <c r="K36" s="11" t="n">
        <v>0.05</v>
      </c>
      <c r="L36" s="1" t="s">
        <v>24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3"/>
      <c r="B37" s="4"/>
      <c r="C37" s="2"/>
      <c r="D37" s="2"/>
      <c r="E37" s="2"/>
      <c r="F37" s="2"/>
      <c r="G37" s="2"/>
      <c r="H37" s="2"/>
      <c r="I37" s="4"/>
      <c r="J37" s="2" t="s">
        <v>68</v>
      </c>
      <c r="K37" s="11" t="n">
        <v>0.02</v>
      </c>
      <c r="L37" s="1" t="s">
        <v>18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3"/>
      <c r="B38" s="4"/>
      <c r="C38" s="2"/>
      <c r="D38" s="2"/>
      <c r="E38" s="2"/>
      <c r="F38" s="2"/>
      <c r="G38" s="2"/>
      <c r="H38" s="2"/>
      <c r="I38" s="4"/>
      <c r="J38" s="2" t="s">
        <v>69</v>
      </c>
      <c r="K38" s="11" t="n">
        <v>0.02</v>
      </c>
      <c r="L38" s="1" t="s">
        <v>24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3"/>
      <c r="B39" s="4"/>
      <c r="C39" s="2"/>
      <c r="D39" s="2"/>
      <c r="E39" s="2"/>
      <c r="F39" s="2"/>
      <c r="G39" s="2"/>
      <c r="H39" s="2"/>
      <c r="I39" s="4"/>
      <c r="J39" s="2" t="s">
        <v>70</v>
      </c>
      <c r="K39" s="11" t="n">
        <v>0.03</v>
      </c>
      <c r="L39" s="1" t="s">
        <v>24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3"/>
      <c r="B40" s="4"/>
      <c r="C40" s="2"/>
      <c r="D40" s="2"/>
      <c r="E40" s="2"/>
      <c r="F40" s="2"/>
      <c r="G40" s="2"/>
      <c r="H40" s="2"/>
      <c r="I40" s="4"/>
      <c r="J40" s="2" t="s">
        <v>71</v>
      </c>
      <c r="K40" s="11" t="n">
        <v>0.03</v>
      </c>
      <c r="L40" s="1" t="s">
        <v>24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3"/>
      <c r="B41" s="4"/>
      <c r="C41" s="2"/>
      <c r="D41" s="2"/>
      <c r="E41" s="2"/>
      <c r="F41" s="2"/>
      <c r="G41" s="2"/>
      <c r="H41" s="2"/>
      <c r="I41" s="4"/>
      <c r="J41" s="2" t="s">
        <v>72</v>
      </c>
      <c r="K41" s="11" t="n">
        <v>0.01</v>
      </c>
      <c r="L41" s="1" t="s">
        <v>18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3"/>
      <c r="B42" s="4"/>
      <c r="C42" s="2"/>
      <c r="D42" s="2"/>
      <c r="E42" s="2"/>
      <c r="F42" s="2"/>
      <c r="G42" s="2"/>
      <c r="H42" s="2"/>
      <c r="I42" s="4"/>
      <c r="J42" s="2" t="s">
        <v>73</v>
      </c>
      <c r="K42" s="11" t="n">
        <v>0.01</v>
      </c>
      <c r="L42" s="1" t="s">
        <v>24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3"/>
      <c r="B43" s="4"/>
      <c r="C43" s="2"/>
      <c r="D43" s="2"/>
      <c r="E43" s="2"/>
      <c r="F43" s="2"/>
      <c r="G43" s="2"/>
      <c r="H43" s="2"/>
      <c r="I43" s="4"/>
      <c r="J43" s="2" t="s">
        <v>74</v>
      </c>
      <c r="K43" s="11" t="n">
        <v>0.01</v>
      </c>
      <c r="L43" s="1" t="s">
        <v>18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4"/>
      <c r="B44" s="4"/>
      <c r="C44" s="4"/>
      <c r="D44" s="4"/>
      <c r="E44" s="4"/>
      <c r="F44" s="4"/>
      <c r="G44" s="4"/>
      <c r="H44" s="4"/>
      <c r="I44" s="4"/>
      <c r="J44" s="2" t="s">
        <v>75</v>
      </c>
      <c r="K44" s="11" t="n">
        <v>0.03</v>
      </c>
      <c r="L44" s="1" t="s">
        <v>24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4"/>
      <c r="B45" s="4"/>
      <c r="C45" s="4"/>
      <c r="D45" s="4"/>
      <c r="E45" s="4"/>
      <c r="F45" s="4"/>
      <c r="G45" s="4"/>
      <c r="H45" s="4"/>
      <c r="I45" s="13"/>
      <c r="J45" s="2" t="s">
        <v>76</v>
      </c>
      <c r="K45" s="11" t="n">
        <v>0.01</v>
      </c>
      <c r="L45" s="1" t="s">
        <v>24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4"/>
      <c r="B46" s="4"/>
      <c r="C46" s="14"/>
      <c r="D46" s="14"/>
      <c r="E46" s="14"/>
      <c r="F46" s="14"/>
      <c r="G46" s="14"/>
      <c r="H46" s="14"/>
      <c r="I46" s="4"/>
      <c r="J46" s="1" t="s">
        <v>77</v>
      </c>
      <c r="K46" s="11" t="n">
        <v>0.01</v>
      </c>
      <c r="L46" s="1" t="s">
        <v>24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4"/>
      <c r="B47" s="4"/>
      <c r="C47" s="15"/>
      <c r="D47" s="15"/>
      <c r="E47" s="15"/>
      <c r="F47" s="15"/>
      <c r="G47" s="15"/>
      <c r="H47" s="15"/>
      <c r="I47" s="4"/>
      <c r="J47" s="2" t="s">
        <v>78</v>
      </c>
      <c r="K47" s="11" t="n">
        <v>0.01</v>
      </c>
      <c r="L47" s="1" t="s">
        <v>24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4"/>
      <c r="B48" s="4"/>
      <c r="C48" s="15"/>
      <c r="D48" s="15"/>
      <c r="E48" s="15"/>
      <c r="F48" s="15"/>
      <c r="G48" s="15"/>
      <c r="H48" s="15"/>
      <c r="I48" s="4"/>
      <c r="J48" s="2" t="s">
        <v>79</v>
      </c>
      <c r="K48" s="11" t="n">
        <v>0.01</v>
      </c>
      <c r="L48" s="1" t="s">
        <v>24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4"/>
      <c r="B49" s="4"/>
      <c r="C49" s="15"/>
      <c r="D49" s="15"/>
      <c r="E49" s="15"/>
      <c r="F49" s="15"/>
      <c r="G49" s="15"/>
      <c r="H49" s="15"/>
      <c r="I49" s="4"/>
      <c r="J49" s="2" t="s">
        <v>80</v>
      </c>
      <c r="K49" s="11" t="n">
        <v>0.01</v>
      </c>
      <c r="L49" s="1" t="s">
        <v>24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4"/>
      <c r="B50" s="4"/>
      <c r="C50" s="15"/>
      <c r="D50" s="15"/>
      <c r="E50" s="15"/>
      <c r="F50" s="15"/>
      <c r="G50" s="15"/>
      <c r="H50" s="15"/>
      <c r="I50" s="4"/>
      <c r="J50" s="1" t="s">
        <v>20</v>
      </c>
      <c r="K50" s="11" t="n">
        <v>0.19</v>
      </c>
      <c r="L50" s="1" t="s">
        <v>20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4" t="n">
        <v>11.0</v>
      </c>
      <c r="B51" s="4" t="n">
        <v>6.0</v>
      </c>
      <c r="C51" s="4" t="s">
        <v>81</v>
      </c>
      <c r="D51" s="1" t="s">
        <v>82</v>
      </c>
      <c r="E51" s="1" t="s">
        <v>83</v>
      </c>
      <c r="F51" s="16" t="s">
        <v>84</v>
      </c>
      <c r="G51" s="1" t="s">
        <v>16</v>
      </c>
      <c r="H51" s="1" t="s">
        <v>57</v>
      </c>
      <c r="I51" s="4" t="n">
        <v>48.0</v>
      </c>
      <c r="J51" s="1" t="s">
        <v>85</v>
      </c>
      <c r="K51" s="11" t="n">
        <v>0.31</v>
      </c>
      <c r="L51" s="1" t="s">
        <v>24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4"/>
      <c r="B52" s="4"/>
      <c r="C52" s="15"/>
      <c r="D52" s="15"/>
      <c r="E52" s="15"/>
      <c r="F52" s="15"/>
      <c r="G52" s="15"/>
      <c r="H52" s="15"/>
      <c r="I52" s="4"/>
      <c r="J52" s="1" t="s">
        <v>86</v>
      </c>
      <c r="K52" s="11" t="n">
        <v>0.11</v>
      </c>
      <c r="L52" s="17" t="s">
        <v>87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4"/>
      <c r="B53" s="4"/>
      <c r="C53" s="15"/>
      <c r="D53" s="15"/>
      <c r="E53" s="15"/>
      <c r="F53" s="15"/>
      <c r="G53" s="15"/>
      <c r="H53" s="15"/>
      <c r="I53" s="4"/>
      <c r="J53" s="1" t="s">
        <v>88</v>
      </c>
      <c r="K53" s="11" t="n">
        <v>0.08</v>
      </c>
      <c r="L53" s="1" t="s">
        <v>24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4"/>
      <c r="B54" s="4"/>
      <c r="C54" s="12"/>
      <c r="D54" s="12"/>
      <c r="E54" s="12"/>
      <c r="F54" s="12"/>
      <c r="G54" s="12"/>
      <c r="H54" s="12"/>
      <c r="I54" s="4"/>
      <c r="J54" s="1" t="s">
        <v>89</v>
      </c>
      <c r="K54" s="11" t="n">
        <v>0.05</v>
      </c>
      <c r="L54" s="1" t="s">
        <v>24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4"/>
      <c r="B55" s="4"/>
      <c r="C55" s="12"/>
      <c r="D55" s="12"/>
      <c r="E55" s="12"/>
      <c r="F55" s="12"/>
      <c r="G55" s="12"/>
      <c r="H55" s="12"/>
      <c r="I55" s="4"/>
      <c r="J55" s="1" t="s">
        <v>90</v>
      </c>
      <c r="K55" s="11" t="n">
        <v>0.08</v>
      </c>
      <c r="L55" s="1" t="s">
        <v>24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4"/>
      <c r="B56" s="4"/>
      <c r="C56" s="12"/>
      <c r="D56" s="12"/>
      <c r="E56" s="12"/>
      <c r="F56" s="12"/>
      <c r="G56" s="12"/>
      <c r="H56" s="12"/>
      <c r="I56" s="4"/>
      <c r="J56" s="1" t="s">
        <v>20</v>
      </c>
      <c r="K56" s="11" t="n">
        <v>0.37</v>
      </c>
      <c r="L56" s="1" t="s">
        <v>20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4" t="n">
        <v>12.0</v>
      </c>
      <c r="B57" s="4" t="n">
        <v>6.0</v>
      </c>
      <c r="C57" s="4" t="s">
        <v>81</v>
      </c>
      <c r="D57" s="1" t="s">
        <v>82</v>
      </c>
      <c r="E57" s="1" t="s">
        <v>91</v>
      </c>
      <c r="F57" s="16" t="s">
        <v>84</v>
      </c>
      <c r="G57" s="1" t="s">
        <v>16</v>
      </c>
      <c r="H57" s="1" t="s">
        <v>57</v>
      </c>
      <c r="I57" s="4" t="n">
        <v>48.0</v>
      </c>
      <c r="J57" s="1" t="s">
        <v>85</v>
      </c>
      <c r="K57" s="11" t="n">
        <v>0.01</v>
      </c>
      <c r="L57" s="1" t="s">
        <v>24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4"/>
      <c r="B58" s="4"/>
      <c r="C58" s="12"/>
      <c r="D58" s="12"/>
      <c r="E58" s="12"/>
      <c r="F58" s="12"/>
      <c r="G58" s="12"/>
      <c r="H58" s="12"/>
      <c r="I58" s="4"/>
      <c r="J58" s="1" t="s">
        <v>88</v>
      </c>
      <c r="K58" s="11" t="n">
        <v>0.13</v>
      </c>
      <c r="L58" s="1" t="s">
        <v>24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4"/>
      <c r="B59" s="4"/>
      <c r="C59" s="12"/>
      <c r="D59" s="12"/>
      <c r="E59" s="12"/>
      <c r="F59" s="12"/>
      <c r="G59" s="12"/>
      <c r="H59" s="12"/>
      <c r="I59" s="4"/>
      <c r="J59" s="1" t="s">
        <v>89</v>
      </c>
      <c r="K59" s="11" t="n">
        <v>0.06</v>
      </c>
      <c r="L59" s="1" t="s">
        <v>24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4"/>
      <c r="B60" s="4"/>
      <c r="C60" s="12"/>
      <c r="D60" s="12"/>
      <c r="E60" s="12"/>
      <c r="F60" s="12"/>
      <c r="G60" s="12"/>
      <c r="H60" s="12"/>
      <c r="I60" s="4"/>
      <c r="J60" s="1" t="s">
        <v>90</v>
      </c>
      <c r="K60" s="11" t="n">
        <v>0.06</v>
      </c>
      <c r="L60" s="1" t="s">
        <v>24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4"/>
      <c r="B61" s="4"/>
      <c r="C61" s="12"/>
      <c r="D61" s="12"/>
      <c r="E61" s="12"/>
      <c r="F61" s="12"/>
      <c r="G61" s="12"/>
      <c r="H61" s="12"/>
      <c r="I61" s="4"/>
      <c r="J61" s="1" t="s">
        <v>20</v>
      </c>
      <c r="K61" s="11" t="n">
        <v>0.74</v>
      </c>
      <c r="L61" s="1" t="s">
        <v>20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4" t="n">
        <v>13.0</v>
      </c>
      <c r="B62" s="4" t="n">
        <v>6.0</v>
      </c>
      <c r="C62" s="4" t="s">
        <v>81</v>
      </c>
      <c r="D62" s="1" t="s">
        <v>82</v>
      </c>
      <c r="E62" s="1" t="s">
        <v>92</v>
      </c>
      <c r="F62" s="16" t="s">
        <v>84</v>
      </c>
      <c r="G62" s="1" t="s">
        <v>16</v>
      </c>
      <c r="H62" s="1" t="s">
        <v>57</v>
      </c>
      <c r="I62" s="4" t="n">
        <v>48.0</v>
      </c>
      <c r="J62" s="1" t="s">
        <v>88</v>
      </c>
      <c r="K62" s="11" t="n">
        <v>0.07</v>
      </c>
      <c r="L62" s="1" t="s">
        <v>24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4"/>
      <c r="B63" s="4"/>
      <c r="C63" s="12"/>
      <c r="D63" s="12"/>
      <c r="E63" s="12"/>
      <c r="F63" s="12"/>
      <c r="G63" s="12"/>
      <c r="H63" s="12"/>
      <c r="I63" s="4"/>
      <c r="J63" s="1" t="s">
        <v>89</v>
      </c>
      <c r="K63" s="11" t="n">
        <v>0.01</v>
      </c>
      <c r="L63" s="1" t="s">
        <v>24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4"/>
      <c r="B64" s="4"/>
      <c r="C64" s="12"/>
      <c r="D64" s="12"/>
      <c r="E64" s="12"/>
      <c r="F64" s="12"/>
      <c r="G64" s="12"/>
      <c r="H64" s="12"/>
      <c r="I64" s="4"/>
      <c r="J64" s="1" t="s">
        <v>90</v>
      </c>
      <c r="K64" s="11" t="n">
        <v>0.03</v>
      </c>
      <c r="L64" s="1" t="s">
        <v>24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4"/>
      <c r="B65" s="4"/>
      <c r="C65" s="12"/>
      <c r="D65" s="12"/>
      <c r="E65" s="12"/>
      <c r="F65" s="12"/>
      <c r="G65" s="12"/>
      <c r="H65" s="12"/>
      <c r="I65" s="4"/>
      <c r="J65" s="1" t="s">
        <v>20</v>
      </c>
      <c r="K65" s="11" t="n">
        <v>0.89</v>
      </c>
      <c r="L65" s="1" t="s">
        <v>20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4" t="n">
        <v>14.0</v>
      </c>
      <c r="B66" s="4" t="n">
        <v>6.0</v>
      </c>
      <c r="C66" s="4" t="s">
        <v>81</v>
      </c>
      <c r="D66" s="1" t="s">
        <v>82</v>
      </c>
      <c r="E66" s="1" t="s">
        <v>93</v>
      </c>
      <c r="F66" s="16" t="s">
        <v>84</v>
      </c>
      <c r="G66" s="1" t="s">
        <v>16</v>
      </c>
      <c r="H66" s="1" t="s">
        <v>57</v>
      </c>
      <c r="I66" s="4" t="n">
        <v>48.0</v>
      </c>
      <c r="J66" s="1" t="s">
        <v>94</v>
      </c>
      <c r="K66" s="18" t="n">
        <v>0.14</v>
      </c>
      <c r="L66" s="1" t="s">
        <v>47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4"/>
      <c r="B67" s="4"/>
      <c r="C67" s="12"/>
      <c r="D67" s="12"/>
      <c r="E67" s="12"/>
      <c r="F67" s="12"/>
      <c r="G67" s="12"/>
      <c r="H67" s="12"/>
      <c r="I67" s="4"/>
      <c r="J67" s="1" t="s">
        <v>95</v>
      </c>
      <c r="K67" s="11" t="n">
        <v>0.3</v>
      </c>
      <c r="L67" s="1" t="s">
        <v>28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4"/>
      <c r="B68" s="4"/>
      <c r="C68" s="12"/>
      <c r="D68" s="12"/>
      <c r="E68" s="12"/>
      <c r="F68" s="12"/>
      <c r="G68" s="12"/>
      <c r="H68" s="12"/>
      <c r="I68" s="4"/>
      <c r="J68" s="1" t="s">
        <v>90</v>
      </c>
      <c r="K68" s="11" t="n">
        <v>0.01</v>
      </c>
      <c r="L68" s="1" t="s">
        <v>24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4"/>
      <c r="B69" s="4"/>
      <c r="C69" s="15"/>
      <c r="D69" s="15"/>
      <c r="E69" s="15"/>
      <c r="F69" s="15"/>
      <c r="G69" s="15"/>
      <c r="H69" s="15"/>
      <c r="I69" s="4"/>
      <c r="J69" s="1" t="s">
        <v>96</v>
      </c>
      <c r="K69" s="11" t="n">
        <v>0.02</v>
      </c>
      <c r="L69" s="1" t="s">
        <v>47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4"/>
      <c r="B70" s="4"/>
      <c r="C70" s="15"/>
      <c r="D70" s="15"/>
      <c r="E70" s="15"/>
      <c r="F70" s="15"/>
      <c r="G70" s="15"/>
      <c r="H70" s="15"/>
      <c r="I70" s="4"/>
      <c r="J70" s="1" t="s">
        <v>20</v>
      </c>
      <c r="K70" s="11" t="n">
        <v>0.53</v>
      </c>
      <c r="L70" s="1" t="s">
        <v>20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4" t="n">
        <v>15.0</v>
      </c>
      <c r="B71" s="4" t="n">
        <v>7.0</v>
      </c>
      <c r="C71" s="4" t="s">
        <v>97</v>
      </c>
      <c r="D71" s="1" t="s">
        <v>98</v>
      </c>
      <c r="E71" s="4" t="s">
        <v>99</v>
      </c>
      <c r="F71" s="1" t="s">
        <v>35</v>
      </c>
      <c r="G71" s="1" t="s">
        <v>44</v>
      </c>
      <c r="H71" s="1" t="s">
        <v>100</v>
      </c>
      <c r="I71" s="4" t="n">
        <v>30.0</v>
      </c>
      <c r="J71" s="1" t="s">
        <v>101</v>
      </c>
      <c r="K71" s="18" t="n">
        <v>0.57</v>
      </c>
      <c r="L71" s="1" t="s">
        <v>24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4"/>
      <c r="B72" s="4"/>
      <c r="C72" s="15"/>
      <c r="D72" s="15"/>
      <c r="E72" s="15"/>
      <c r="F72" s="15"/>
      <c r="G72" s="15"/>
      <c r="H72" s="15"/>
      <c r="I72" s="4"/>
      <c r="J72" s="2" t="s">
        <v>23</v>
      </c>
      <c r="K72" s="11" t="n">
        <v>0.17</v>
      </c>
      <c r="L72" s="1" t="s">
        <v>24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4"/>
      <c r="B73" s="4"/>
      <c r="C73" s="15"/>
      <c r="D73" s="15"/>
      <c r="E73" s="15"/>
      <c r="F73" s="15"/>
      <c r="G73" s="15"/>
      <c r="H73" s="15"/>
      <c r="I73" s="4"/>
      <c r="J73" s="2" t="s">
        <v>102</v>
      </c>
      <c r="K73" s="11" t="n">
        <v>0.05</v>
      </c>
      <c r="L73" s="1" t="s">
        <v>24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4"/>
      <c r="B74" s="4"/>
      <c r="C74" s="15"/>
      <c r="D74" s="15"/>
      <c r="E74" s="15"/>
      <c r="F74" s="15"/>
      <c r="G74" s="15"/>
      <c r="H74" s="15"/>
      <c r="I74" s="4"/>
      <c r="J74" s="2" t="s">
        <v>75</v>
      </c>
      <c r="K74" s="11" t="n">
        <v>0.03</v>
      </c>
      <c r="L74" s="1" t="s">
        <v>24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4"/>
      <c r="B75" s="4"/>
      <c r="C75" s="15"/>
      <c r="D75" s="15"/>
      <c r="E75" s="15"/>
      <c r="F75" s="15"/>
      <c r="G75" s="15"/>
      <c r="H75" s="15"/>
      <c r="I75" s="4"/>
      <c r="J75" s="2" t="s">
        <v>103</v>
      </c>
      <c r="K75" s="11" t="n">
        <v>0.01</v>
      </c>
      <c r="L75" s="1" t="s">
        <v>24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4"/>
      <c r="B76" s="4"/>
      <c r="C76" s="15"/>
      <c r="D76" s="15"/>
      <c r="E76" s="15"/>
      <c r="F76" s="15"/>
      <c r="G76" s="15"/>
      <c r="H76" s="15"/>
      <c r="I76" s="4"/>
      <c r="J76" s="2" t="s">
        <v>95</v>
      </c>
      <c r="K76" s="11" t="n">
        <v>0.03</v>
      </c>
      <c r="L76" s="1" t="s">
        <v>28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4"/>
      <c r="B77" s="4"/>
      <c r="C77" s="12"/>
      <c r="D77" s="12"/>
      <c r="E77" s="12"/>
      <c r="F77" s="12"/>
      <c r="G77" s="12"/>
      <c r="H77" s="12"/>
      <c r="I77" s="13"/>
      <c r="J77" s="2" t="s">
        <v>104</v>
      </c>
      <c r="K77" s="18" t="n">
        <v>0.02</v>
      </c>
      <c r="L77" s="1" t="s">
        <v>28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4"/>
      <c r="B78" s="4"/>
      <c r="C78" s="12"/>
      <c r="D78" s="12"/>
      <c r="E78" s="12"/>
      <c r="F78" s="12"/>
      <c r="G78" s="12"/>
      <c r="H78" s="12"/>
      <c r="I78" s="13"/>
      <c r="J78" s="2" t="s">
        <v>105</v>
      </c>
      <c r="K78" s="11" t="n">
        <v>0.01</v>
      </c>
      <c r="L78" s="1" t="s">
        <v>24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8.0" customHeight="true">
      <c r="A79" s="4"/>
      <c r="B79" s="4"/>
      <c r="C79" s="15"/>
      <c r="D79" s="15"/>
      <c r="E79" s="15"/>
      <c r="F79" s="15"/>
      <c r="G79" s="15"/>
      <c r="H79" s="15"/>
      <c r="I79" s="4"/>
      <c r="J79" s="2" t="s">
        <v>106</v>
      </c>
      <c r="K79" s="11" t="n">
        <v>0.01</v>
      </c>
      <c r="L79" s="1" t="s">
        <v>24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4"/>
      <c r="B80" s="4"/>
      <c r="C80" s="12"/>
      <c r="D80" s="12"/>
      <c r="E80" s="12"/>
      <c r="F80" s="12"/>
      <c r="G80" s="12"/>
      <c r="H80" s="12"/>
      <c r="I80" s="4"/>
      <c r="J80" s="1" t="s">
        <v>20</v>
      </c>
      <c r="K80" s="11" t="n">
        <v>0.1</v>
      </c>
      <c r="L80" s="1" t="s">
        <v>20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4" t="n">
        <v>16.0</v>
      </c>
      <c r="B81" s="4" t="n">
        <v>8.0</v>
      </c>
      <c r="C81" s="4" t="s">
        <v>107</v>
      </c>
      <c r="D81" s="1" t="s">
        <v>108</v>
      </c>
      <c r="E81" s="4" t="s">
        <v>42</v>
      </c>
      <c r="F81" s="1" t="s">
        <v>43</v>
      </c>
      <c r="G81" s="1" t="s">
        <v>16</v>
      </c>
      <c r="H81" s="4" t="s">
        <v>109</v>
      </c>
      <c r="I81" s="4" t="n">
        <v>46.0</v>
      </c>
      <c r="J81" s="2" t="s">
        <v>109</v>
      </c>
      <c r="K81" s="11" t="n">
        <v>0.96</v>
      </c>
      <c r="L81" s="1" t="s">
        <v>47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4"/>
      <c r="B82" s="4"/>
      <c r="C82" s="15"/>
      <c r="D82" s="15"/>
      <c r="E82" s="15"/>
      <c r="F82" s="15"/>
      <c r="G82" s="15"/>
      <c r="H82" s="15"/>
      <c r="I82" s="4"/>
      <c r="J82" s="2" t="s">
        <v>110</v>
      </c>
      <c r="K82" s="11" t="n">
        <v>0.01</v>
      </c>
      <c r="L82" s="1" t="s">
        <v>24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4"/>
      <c r="B83" s="4"/>
      <c r="C83" s="15"/>
      <c r="D83" s="15"/>
      <c r="E83" s="15"/>
      <c r="F83" s="15"/>
      <c r="G83" s="15"/>
      <c r="H83" s="15"/>
      <c r="I83" s="4"/>
      <c r="J83" s="2" t="s">
        <v>52</v>
      </c>
      <c r="K83" s="11" t="n">
        <v>0.01</v>
      </c>
      <c r="L83" s="1" t="s">
        <v>24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4"/>
      <c r="B84" s="4"/>
      <c r="C84" s="12"/>
      <c r="D84" s="12"/>
      <c r="E84" s="12"/>
      <c r="F84" s="12"/>
      <c r="G84" s="12"/>
      <c r="H84" s="12"/>
      <c r="I84" s="4"/>
      <c r="J84" s="1" t="s">
        <v>20</v>
      </c>
      <c r="K84" s="11" t="n">
        <v>0.02</v>
      </c>
      <c r="L84" s="1" t="s">
        <v>20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4" t="n">
        <v>17.0</v>
      </c>
      <c r="B85" s="4" t="n">
        <v>9.0</v>
      </c>
      <c r="C85" s="1" t="s">
        <v>111</v>
      </c>
      <c r="D85" s="1" t="s">
        <v>112</v>
      </c>
      <c r="E85" s="1" t="s">
        <v>34</v>
      </c>
      <c r="F85" s="1" t="s">
        <v>43</v>
      </c>
      <c r="G85" s="1" t="s">
        <v>22</v>
      </c>
      <c r="H85" s="4" t="s">
        <v>72</v>
      </c>
      <c r="I85" s="4" t="n">
        <v>71.0</v>
      </c>
      <c r="J85" s="2" t="s">
        <v>113</v>
      </c>
      <c r="K85" s="11" t="n">
        <v>0.35</v>
      </c>
      <c r="L85" s="1" t="s">
        <v>18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4"/>
      <c r="B86" s="4"/>
      <c r="C86" s="12"/>
      <c r="D86" s="12"/>
      <c r="E86" s="12"/>
      <c r="F86" s="12"/>
      <c r="G86" s="12"/>
      <c r="H86" s="12"/>
      <c r="I86" s="4"/>
      <c r="J86" s="2" t="s">
        <v>72</v>
      </c>
      <c r="K86" s="11" t="n">
        <v>0.22</v>
      </c>
      <c r="L86" s="1" t="s">
        <v>18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4"/>
      <c r="B87" s="4"/>
      <c r="C87" s="12"/>
      <c r="D87" s="12"/>
      <c r="E87" s="12"/>
      <c r="F87" s="12"/>
      <c r="G87" s="12"/>
      <c r="H87" s="12"/>
      <c r="I87" s="4"/>
      <c r="J87" s="2" t="s">
        <v>68</v>
      </c>
      <c r="K87" s="11" t="n">
        <v>0.18</v>
      </c>
      <c r="L87" s="1" t="s">
        <v>18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4"/>
      <c r="B88" s="4"/>
      <c r="C88" s="10"/>
      <c r="D88" s="10"/>
      <c r="E88" s="10"/>
      <c r="F88" s="10"/>
      <c r="G88" s="10"/>
      <c r="H88" s="10"/>
      <c r="I88" s="4"/>
      <c r="J88" s="2" t="s">
        <v>114</v>
      </c>
      <c r="K88" s="11" t="n">
        <v>0.21</v>
      </c>
      <c r="L88" s="1" t="s">
        <v>18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4"/>
      <c r="B89" s="4"/>
      <c r="C89" s="10"/>
      <c r="D89" s="10"/>
      <c r="E89" s="10"/>
      <c r="F89" s="10"/>
      <c r="G89" s="10"/>
      <c r="H89" s="10"/>
      <c r="I89" s="4"/>
      <c r="J89" s="2" t="s">
        <v>74</v>
      </c>
      <c r="K89" s="11" t="n">
        <v>0.01</v>
      </c>
      <c r="L89" s="1" t="s">
        <v>18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4"/>
      <c r="B90" s="4"/>
      <c r="C90" s="15"/>
      <c r="D90" s="15"/>
      <c r="E90" s="15"/>
      <c r="F90" s="15"/>
      <c r="G90" s="15"/>
      <c r="H90" s="15"/>
      <c r="I90" s="4"/>
      <c r="J90" s="1" t="s">
        <v>20</v>
      </c>
      <c r="K90" s="11" t="n">
        <v>0.03</v>
      </c>
      <c r="L90" s="1" t="s">
        <v>20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4" t="n">
        <v>18.0</v>
      </c>
      <c r="B91" s="4" t="n">
        <v>10.0</v>
      </c>
      <c r="C91" s="1" t="s">
        <v>115</v>
      </c>
      <c r="D91" s="1" t="s">
        <v>116</v>
      </c>
      <c r="E91" s="1" t="s">
        <v>34</v>
      </c>
      <c r="F91" s="1" t="s">
        <v>35</v>
      </c>
      <c r="G91" s="1" t="s">
        <v>44</v>
      </c>
      <c r="H91" s="1" t="s">
        <v>117</v>
      </c>
      <c r="I91" s="4" t="n">
        <v>36.0</v>
      </c>
      <c r="J91" s="2" t="s">
        <v>38</v>
      </c>
      <c r="K91" s="11" t="n">
        <v>0.14</v>
      </c>
      <c r="L91" s="1" t="s">
        <v>18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4"/>
      <c r="B92" s="4"/>
      <c r="C92" s="15"/>
      <c r="D92" s="15"/>
      <c r="E92" s="15"/>
      <c r="F92" s="15"/>
      <c r="G92" s="15"/>
      <c r="H92" s="15"/>
      <c r="I92" s="4"/>
      <c r="J92" s="2" t="s">
        <v>39</v>
      </c>
      <c r="K92" s="11" t="n">
        <v>0.07</v>
      </c>
      <c r="L92" s="1" t="s">
        <v>18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4"/>
      <c r="B93" s="4"/>
      <c r="C93" s="10"/>
      <c r="D93" s="10"/>
      <c r="E93" s="10"/>
      <c r="F93" s="10"/>
      <c r="G93" s="10"/>
      <c r="H93" s="10"/>
      <c r="I93" s="4"/>
      <c r="J93" s="2" t="s">
        <v>118</v>
      </c>
      <c r="K93" s="11" t="n">
        <v>0.07</v>
      </c>
      <c r="L93" s="1" t="s">
        <v>18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10"/>
      <c r="D94" s="10"/>
      <c r="E94" s="10"/>
      <c r="F94" s="10"/>
      <c r="G94" s="10"/>
      <c r="H94" s="10"/>
      <c r="I94" s="13"/>
      <c r="J94" s="2" t="s">
        <v>17</v>
      </c>
      <c r="K94" s="11" t="n">
        <v>0.04</v>
      </c>
      <c r="L94" s="1" t="s">
        <v>18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15"/>
      <c r="D95" s="15"/>
      <c r="E95" s="15"/>
      <c r="F95" s="15"/>
      <c r="G95" s="15"/>
      <c r="H95" s="15"/>
      <c r="I95" s="13"/>
      <c r="J95" s="2" t="s">
        <v>119</v>
      </c>
      <c r="K95" s="11" t="n">
        <v>0.01</v>
      </c>
      <c r="L95" s="1" t="s">
        <v>18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10"/>
      <c r="D96" s="10"/>
      <c r="E96" s="10"/>
      <c r="F96" s="10"/>
      <c r="G96" s="10"/>
      <c r="H96" s="10"/>
      <c r="I96" s="13"/>
      <c r="J96" s="2" t="s">
        <v>120</v>
      </c>
      <c r="K96" s="11" t="n">
        <v>0.03</v>
      </c>
      <c r="L96" s="1" t="s">
        <v>24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4"/>
      <c r="B97" s="4"/>
      <c r="C97" s="10"/>
      <c r="D97" s="10"/>
      <c r="E97" s="10"/>
      <c r="F97" s="10"/>
      <c r="G97" s="10"/>
      <c r="H97" s="10"/>
      <c r="I97" s="13"/>
      <c r="J97" s="2" t="s">
        <v>95</v>
      </c>
      <c r="K97" s="11" t="n">
        <v>0.15</v>
      </c>
      <c r="L97" s="1" t="s">
        <v>28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4"/>
      <c r="B98" s="4"/>
      <c r="C98" s="10"/>
      <c r="D98" s="10"/>
      <c r="E98" s="10"/>
      <c r="F98" s="10"/>
      <c r="G98" s="10"/>
      <c r="H98" s="10"/>
      <c r="I98" s="4"/>
      <c r="J98" s="2" t="s">
        <v>113</v>
      </c>
      <c r="K98" s="11" t="n">
        <v>0.02</v>
      </c>
      <c r="L98" s="1" t="s">
        <v>18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4"/>
      <c r="B99" s="4"/>
      <c r="C99" s="4"/>
      <c r="D99" s="4"/>
      <c r="E99" s="4"/>
      <c r="F99" s="4"/>
      <c r="G99" s="4"/>
      <c r="H99" s="4"/>
      <c r="I99" s="4"/>
      <c r="J99" s="2" t="s">
        <v>75</v>
      </c>
      <c r="K99" s="11" t="n">
        <v>0.01</v>
      </c>
      <c r="L99" s="1" t="s">
        <v>24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2" t="s">
        <v>104</v>
      </c>
      <c r="K100" s="11" t="n">
        <v>0.07</v>
      </c>
      <c r="L100" s="1" t="s">
        <v>28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4"/>
      <c r="B101" s="4"/>
      <c r="C101" s="10"/>
      <c r="D101" s="10"/>
      <c r="E101" s="10"/>
      <c r="F101" s="10"/>
      <c r="G101" s="10"/>
      <c r="H101" s="10"/>
      <c r="I101" s="4"/>
      <c r="J101" s="2" t="s">
        <v>121</v>
      </c>
      <c r="K101" s="11" t="n">
        <v>0.02</v>
      </c>
      <c r="L101" s="1" t="s">
        <v>24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4"/>
      <c r="B102" s="4"/>
      <c r="C102" s="10"/>
      <c r="D102" s="10"/>
      <c r="E102" s="10"/>
      <c r="F102" s="10"/>
      <c r="G102" s="10"/>
      <c r="H102" s="10"/>
      <c r="I102" s="13"/>
      <c r="J102" s="2" t="s">
        <v>23</v>
      </c>
      <c r="K102" s="11" t="n">
        <v>0.02</v>
      </c>
      <c r="L102" s="1" t="s">
        <v>24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4"/>
      <c r="B103" s="4"/>
      <c r="C103" s="10"/>
      <c r="D103" s="10"/>
      <c r="E103" s="10"/>
      <c r="F103" s="10"/>
      <c r="G103" s="10"/>
      <c r="H103" s="10"/>
      <c r="I103" s="13"/>
      <c r="J103" s="2" t="s">
        <v>122</v>
      </c>
      <c r="K103" s="11" t="n">
        <v>0.05</v>
      </c>
      <c r="L103" s="1" t="s">
        <v>24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4"/>
      <c r="B104" s="4"/>
      <c r="C104" s="10"/>
      <c r="D104" s="10"/>
      <c r="E104" s="10"/>
      <c r="F104" s="10"/>
      <c r="G104" s="10"/>
      <c r="H104" s="10"/>
      <c r="I104" s="13"/>
      <c r="J104" s="2" t="s">
        <v>123</v>
      </c>
      <c r="K104" s="11" t="n">
        <v>0.05</v>
      </c>
      <c r="L104" s="1" t="s">
        <v>24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4"/>
      <c r="B105" s="4"/>
      <c r="C105" s="12"/>
      <c r="D105" s="12"/>
      <c r="E105" s="12"/>
      <c r="F105" s="12"/>
      <c r="G105" s="12"/>
      <c r="H105" s="12"/>
      <c r="I105" s="4"/>
      <c r="J105" s="2" t="s">
        <v>106</v>
      </c>
      <c r="K105" s="11" t="n">
        <v>0.06</v>
      </c>
      <c r="L105" s="1" t="s">
        <v>24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4"/>
      <c r="B106" s="4"/>
      <c r="C106" s="12"/>
      <c r="D106" s="12"/>
      <c r="E106" s="12"/>
      <c r="F106" s="12"/>
      <c r="G106" s="12"/>
      <c r="H106" s="12"/>
      <c r="I106" s="4"/>
      <c r="J106" s="1" t="s">
        <v>20</v>
      </c>
      <c r="K106" s="11" t="n">
        <v>0.19</v>
      </c>
      <c r="L106" s="1" t="s">
        <v>20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4" t="n">
        <v>19.0</v>
      </c>
      <c r="B107" s="4" t="n">
        <v>11.0</v>
      </c>
      <c r="C107" s="4" t="s">
        <v>124</v>
      </c>
      <c r="D107" s="1" t="s">
        <v>125</v>
      </c>
      <c r="E107" s="4" t="s">
        <v>126</v>
      </c>
      <c r="F107" s="1" t="s">
        <v>43</v>
      </c>
      <c r="G107" s="1" t="s">
        <v>16</v>
      </c>
      <c r="H107" s="1" t="s">
        <v>127</v>
      </c>
      <c r="I107" s="4" t="n">
        <v>11.0</v>
      </c>
      <c r="J107" s="2" t="s">
        <v>127</v>
      </c>
      <c r="K107" s="11" t="n">
        <v>0.63</v>
      </c>
      <c r="L107" s="1" t="s">
        <v>24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 t="s">
        <v>128</v>
      </c>
      <c r="K108" s="11" t="n">
        <v>0.27</v>
      </c>
      <c r="L108" s="1" t="s">
        <v>24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 t="s">
        <v>129</v>
      </c>
      <c r="K109" s="11" t="n">
        <v>0.02</v>
      </c>
      <c r="L109" s="1" t="s">
        <v>24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 t="s">
        <v>130</v>
      </c>
      <c r="K110" s="11" t="n">
        <v>0.01</v>
      </c>
      <c r="L110" s="1" t="s">
        <v>24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1" t="s">
        <v>20</v>
      </c>
      <c r="K111" s="11" t="n">
        <v>0.07</v>
      </c>
      <c r="L111" s="1" t="s">
        <v>20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3" t="n">
        <v>20.0</v>
      </c>
      <c r="B112" s="3" t="n">
        <v>12.0</v>
      </c>
      <c r="C112" s="1" t="s">
        <v>131</v>
      </c>
      <c r="D112" s="1" t="s">
        <v>125</v>
      </c>
      <c r="E112" s="4" t="s">
        <v>126</v>
      </c>
      <c r="F112" s="1" t="s">
        <v>43</v>
      </c>
      <c r="G112" s="1" t="s">
        <v>44</v>
      </c>
      <c r="H112" s="1" t="s">
        <v>77</v>
      </c>
      <c r="I112" s="4" t="n">
        <v>39.0</v>
      </c>
      <c r="J112" s="2" t="s">
        <v>77</v>
      </c>
      <c r="K112" s="11" t="n">
        <v>0.64</v>
      </c>
      <c r="L112" s="1" t="s">
        <v>24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 t="s">
        <v>132</v>
      </c>
      <c r="K113" s="11" t="n">
        <v>0.09</v>
      </c>
      <c r="L113" s="1" t="s">
        <v>24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 t="s">
        <v>133</v>
      </c>
      <c r="K114" s="11" t="n">
        <v>0.05</v>
      </c>
      <c r="L114" s="1" t="s">
        <v>24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 t="s">
        <v>134</v>
      </c>
      <c r="K115" s="11" t="n">
        <v>0.05</v>
      </c>
      <c r="L115" s="1" t="s">
        <v>24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 t="s">
        <v>135</v>
      </c>
      <c r="K116" s="11" t="n">
        <v>0.01</v>
      </c>
      <c r="L116" s="1" t="s">
        <v>24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 t="s">
        <v>101</v>
      </c>
      <c r="K117" s="11" t="n">
        <v>0.03</v>
      </c>
      <c r="L117" s="1" t="s">
        <v>24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1" t="s">
        <v>20</v>
      </c>
      <c r="K118" s="11" t="n">
        <v>0.13</v>
      </c>
      <c r="L118" s="1" t="s">
        <v>20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3" t="n">
        <v>21.0</v>
      </c>
      <c r="B119" s="3" t="n">
        <v>13.0</v>
      </c>
      <c r="C119" s="1" t="s">
        <v>136</v>
      </c>
      <c r="D119" s="1" t="s">
        <v>137</v>
      </c>
      <c r="E119" s="4" t="s">
        <v>34</v>
      </c>
      <c r="F119" s="1" t="s">
        <v>43</v>
      </c>
      <c r="G119" s="1" t="s">
        <v>138</v>
      </c>
      <c r="H119" s="4" t="s">
        <v>139</v>
      </c>
      <c r="I119" s="4" t="n">
        <v>62.0</v>
      </c>
      <c r="J119" s="2" t="s">
        <v>139</v>
      </c>
      <c r="K119" s="11" t="n">
        <v>0.4</v>
      </c>
      <c r="L119" s="1" t="s">
        <v>18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 t="s">
        <v>140</v>
      </c>
      <c r="K120" s="11" t="n">
        <v>0.2</v>
      </c>
      <c r="L120" s="1" t="s">
        <v>18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 t="s">
        <v>141</v>
      </c>
      <c r="K121" s="3" t="n">
        <v>0.1</v>
      </c>
      <c r="L121" s="1" t="s">
        <v>18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 t="s">
        <v>142</v>
      </c>
      <c r="K122" s="3" t="n">
        <v>0.03</v>
      </c>
      <c r="L122" s="1" t="s">
        <v>24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 t="s">
        <v>143</v>
      </c>
      <c r="K123" s="3" t="n">
        <v>0.01</v>
      </c>
      <c r="L123" s="1" t="s">
        <v>18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 t="s">
        <v>144</v>
      </c>
      <c r="K124" s="3" t="n">
        <v>0.01</v>
      </c>
      <c r="L124" s="1" t="s">
        <v>18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145</v>
      </c>
      <c r="K125" s="3" t="n">
        <v>0.01</v>
      </c>
      <c r="L125" s="1" t="s">
        <v>18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 t="s">
        <v>146</v>
      </c>
      <c r="K126" s="3" t="n">
        <v>0.01</v>
      </c>
      <c r="L126" s="1" t="s">
        <v>24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 t="s">
        <v>147</v>
      </c>
      <c r="K127" s="3" t="n">
        <v>0.01</v>
      </c>
      <c r="L127" s="1" t="s">
        <v>24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 t="s">
        <v>148</v>
      </c>
      <c r="K128" s="3" t="n">
        <v>0.01</v>
      </c>
      <c r="L128" s="1" t="s">
        <v>18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 t="s">
        <v>149</v>
      </c>
      <c r="K129" s="3" t="n">
        <v>0.01</v>
      </c>
      <c r="L129" s="1" t="s">
        <v>47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 t="s">
        <v>150</v>
      </c>
      <c r="K130" s="3" t="n">
        <v>0.01</v>
      </c>
      <c r="L130" s="1" t="s">
        <v>24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 t="s">
        <v>73</v>
      </c>
      <c r="K131" s="3" t="n">
        <v>0.01</v>
      </c>
      <c r="L131" s="1" t="s">
        <v>24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 t="s">
        <v>151</v>
      </c>
      <c r="K132" s="3" t="n">
        <v>0.01</v>
      </c>
      <c r="L132" s="1" t="s">
        <v>24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1" t="s">
        <v>20</v>
      </c>
      <c r="K133" s="3" t="n">
        <v>0.1</v>
      </c>
      <c r="L133" s="1" t="s">
        <v>20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3" t="n">
        <v>22.0</v>
      </c>
      <c r="B134" s="3" t="n">
        <v>14.0</v>
      </c>
      <c r="C134" s="4" t="s">
        <v>152</v>
      </c>
      <c r="D134" s="1" t="s">
        <v>153</v>
      </c>
      <c r="E134" s="4" t="s">
        <v>154</v>
      </c>
      <c r="F134" s="1" t="s">
        <v>43</v>
      </c>
      <c r="G134" s="1" t="s">
        <v>36</v>
      </c>
      <c r="H134" s="4" t="s">
        <v>104</v>
      </c>
      <c r="I134" s="4" t="n">
        <v>72.0</v>
      </c>
      <c r="J134" s="2" t="s">
        <v>155</v>
      </c>
      <c r="K134" s="3" t="n">
        <v>0.22</v>
      </c>
      <c r="L134" s="1" t="s">
        <v>24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 t="s">
        <v>104</v>
      </c>
      <c r="K135" s="3" t="n">
        <v>0.13</v>
      </c>
      <c r="L135" s="1" t="s">
        <v>28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 t="s">
        <v>156</v>
      </c>
      <c r="K136" s="3" t="n">
        <v>0.11</v>
      </c>
      <c r="L136" s="1" t="s">
        <v>28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1" t="s">
        <v>17</v>
      </c>
      <c r="K137" s="3" t="n">
        <v>0.06</v>
      </c>
      <c r="L137" s="1" t="s">
        <v>18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 t="s">
        <v>157</v>
      </c>
      <c r="K138" s="3" t="n">
        <v>0.05</v>
      </c>
      <c r="L138" s="1" t="s">
        <v>28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 t="s">
        <v>158</v>
      </c>
      <c r="K139" s="3" t="n">
        <v>0.04</v>
      </c>
      <c r="L139" s="1" t="s">
        <v>24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 t="s">
        <v>159</v>
      </c>
      <c r="K140" s="3" t="n">
        <v>0.04</v>
      </c>
      <c r="L140" s="1" t="s">
        <v>28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 t="s">
        <v>160</v>
      </c>
      <c r="K141" s="3" t="n">
        <v>0.03</v>
      </c>
      <c r="L141" s="1" t="s">
        <v>28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 t="s">
        <v>161</v>
      </c>
      <c r="K142" s="3" t="n">
        <v>0.03</v>
      </c>
      <c r="L142" s="1" t="s">
        <v>28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 t="s">
        <v>121</v>
      </c>
      <c r="K143" s="3" t="n">
        <v>0.01</v>
      </c>
      <c r="L143" s="1" t="s">
        <v>24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 t="s">
        <v>142</v>
      </c>
      <c r="K144" s="3" t="n">
        <v>0.01</v>
      </c>
      <c r="L144" s="1" t="s">
        <v>24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1" t="s">
        <v>20</v>
      </c>
      <c r="K145" s="3" t="n">
        <v>0.27</v>
      </c>
      <c r="L145" s="1" t="s">
        <v>20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3" t="n">
        <v>23.0</v>
      </c>
      <c r="B146" s="3" t="n">
        <v>15.0</v>
      </c>
      <c r="C146" s="1" t="s">
        <v>162</v>
      </c>
      <c r="D146" s="1" t="s">
        <v>163</v>
      </c>
      <c r="E146" s="1" t="s">
        <v>164</v>
      </c>
      <c r="F146" s="1" t="s">
        <v>15</v>
      </c>
      <c r="G146" s="1" t="s">
        <v>16</v>
      </c>
      <c r="H146" s="1" t="s">
        <v>57</v>
      </c>
      <c r="I146" s="4" t="n">
        <v>38.0</v>
      </c>
      <c r="J146" s="2" t="s">
        <v>165</v>
      </c>
      <c r="K146" s="3" t="n">
        <v>0.14</v>
      </c>
      <c r="L146" s="1" t="s">
        <v>28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 t="s">
        <v>166</v>
      </c>
      <c r="K147" s="3" t="n">
        <v>0.07</v>
      </c>
      <c r="L147" s="1" t="s">
        <v>24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 t="s">
        <v>167</v>
      </c>
      <c r="K148" s="3" t="n">
        <v>0.1</v>
      </c>
      <c r="L148" s="1" t="s">
        <v>24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 t="s">
        <v>168</v>
      </c>
      <c r="K149" s="3" t="n">
        <v>0.1</v>
      </c>
      <c r="L149" s="1" t="s">
        <v>24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 t="s">
        <v>169</v>
      </c>
      <c r="K150" s="3" t="n">
        <v>0.01</v>
      </c>
      <c r="L150" s="1" t="s">
        <v>18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 t="s">
        <v>17</v>
      </c>
      <c r="K151" s="3" t="n">
        <v>0.08</v>
      </c>
      <c r="L151" s="1" t="s">
        <v>18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 t="s">
        <v>170</v>
      </c>
      <c r="K152" s="3" t="n">
        <v>0.03</v>
      </c>
      <c r="L152" s="1" t="s">
        <v>24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 t="s">
        <v>171</v>
      </c>
      <c r="K153" s="3" t="n">
        <v>0.07</v>
      </c>
      <c r="L153" s="1" t="s">
        <v>24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 t="s">
        <v>172</v>
      </c>
      <c r="K154" s="3" t="n">
        <v>0.02</v>
      </c>
      <c r="L154" s="1" t="s">
        <v>28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 t="s">
        <v>114</v>
      </c>
      <c r="K155" s="3" t="n">
        <v>0.01</v>
      </c>
      <c r="L155" s="1" t="s">
        <v>18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1" t="s">
        <v>20</v>
      </c>
      <c r="K156" s="3" t="n">
        <v>0.37</v>
      </c>
      <c r="L156" s="1" t="s">
        <v>20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3" t="n">
        <v>24.0</v>
      </c>
      <c r="B157" s="3" t="n">
        <v>15.0</v>
      </c>
      <c r="C157" s="1" t="s">
        <v>162</v>
      </c>
      <c r="D157" s="1" t="s">
        <v>163</v>
      </c>
      <c r="E157" s="1" t="s">
        <v>164</v>
      </c>
      <c r="F157" s="1" t="s">
        <v>15</v>
      </c>
      <c r="G157" s="1" t="s">
        <v>22</v>
      </c>
      <c r="H157" s="1" t="s">
        <v>57</v>
      </c>
      <c r="I157" s="4" t="n">
        <v>25.0</v>
      </c>
      <c r="J157" s="2" t="s">
        <v>167</v>
      </c>
      <c r="K157" s="3" t="n">
        <v>0.15</v>
      </c>
      <c r="L157" s="1" t="s">
        <v>24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 t="s">
        <v>17</v>
      </c>
      <c r="K158" s="3" t="n">
        <v>0.17</v>
      </c>
      <c r="L158" s="1" t="s">
        <v>18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 t="s">
        <v>173</v>
      </c>
      <c r="K159" s="3" t="n">
        <v>0.03</v>
      </c>
      <c r="L159" s="1" t="s">
        <v>24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 t="s">
        <v>27</v>
      </c>
      <c r="K160" s="3" t="n">
        <v>0.14</v>
      </c>
      <c r="L160" s="1" t="s">
        <v>28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 t="s">
        <v>171</v>
      </c>
      <c r="K161" s="3" t="n">
        <v>0.08</v>
      </c>
      <c r="L161" s="1" t="s">
        <v>24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 t="s">
        <v>174</v>
      </c>
      <c r="K162" s="3" t="n">
        <v>0.13</v>
      </c>
      <c r="L162" s="1" t="s">
        <v>24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 t="s">
        <v>79</v>
      </c>
      <c r="K163" s="3" t="n">
        <v>0.06</v>
      </c>
      <c r="L163" s="1" t="s">
        <v>24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 t="s">
        <v>175</v>
      </c>
      <c r="K164" s="3" t="n">
        <v>0.09</v>
      </c>
      <c r="L164" s="1" t="s">
        <v>24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1" t="s">
        <v>20</v>
      </c>
      <c r="K165" s="3" t="n">
        <v>0.15</v>
      </c>
      <c r="L165" s="1" t="s">
        <v>20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3" t="n">
        <v>25.0</v>
      </c>
      <c r="B166" s="3" t="n">
        <v>16.0</v>
      </c>
      <c r="C166" s="4" t="s">
        <v>176</v>
      </c>
      <c r="D166" s="1" t="s">
        <v>177</v>
      </c>
      <c r="E166" s="4" t="s">
        <v>178</v>
      </c>
      <c r="F166" s="1" t="s">
        <v>84</v>
      </c>
      <c r="G166" s="1" t="s">
        <v>179</v>
      </c>
      <c r="H166" s="1" t="s">
        <v>57</v>
      </c>
      <c r="I166" s="4" t="n">
        <v>32.0</v>
      </c>
      <c r="J166" s="2" t="s">
        <v>180</v>
      </c>
      <c r="K166" s="3" t="n">
        <v>0.17</v>
      </c>
      <c r="L166" s="1" t="s">
        <v>24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 t="s">
        <v>101</v>
      </c>
      <c r="K167" s="3" t="n">
        <v>0.23</v>
      </c>
      <c r="L167" s="1" t="s">
        <v>24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 t="s">
        <v>102</v>
      </c>
      <c r="K168" s="3" t="n">
        <v>0.21</v>
      </c>
      <c r="L168" s="1" t="s">
        <v>24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 t="s">
        <v>23</v>
      </c>
      <c r="K169" s="3" t="n">
        <v>0.12</v>
      </c>
      <c r="L169" s="1" t="s">
        <v>24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 t="s">
        <v>181</v>
      </c>
      <c r="K170" s="3" t="n">
        <v>0.02</v>
      </c>
      <c r="L170" s="1" t="s">
        <v>24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 t="s">
        <v>90</v>
      </c>
      <c r="K171" s="3" t="n">
        <v>0.09</v>
      </c>
      <c r="L171" s="1" t="s">
        <v>24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 t="s">
        <v>175</v>
      </c>
      <c r="K172" s="3" t="n">
        <v>0.01</v>
      </c>
      <c r="L172" s="1" t="s">
        <v>24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 t="s">
        <v>119</v>
      </c>
      <c r="K173" s="3" t="n">
        <v>0.01</v>
      </c>
      <c r="L173" s="1" t="s">
        <v>18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 t="s">
        <v>95</v>
      </c>
      <c r="K174" s="3" t="n">
        <v>0.01</v>
      </c>
      <c r="L174" s="1" t="s">
        <v>28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1" t="s">
        <v>20</v>
      </c>
      <c r="K175" s="3" t="n">
        <v>0.13</v>
      </c>
      <c r="L175" s="1" t="s">
        <v>20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3" t="n">
        <v>26.0</v>
      </c>
      <c r="B176" s="3" t="n">
        <v>17.0</v>
      </c>
      <c r="C176" s="1" t="s">
        <v>182</v>
      </c>
      <c r="D176" s="1" t="s">
        <v>183</v>
      </c>
      <c r="E176" s="1" t="s">
        <v>63</v>
      </c>
      <c r="F176" s="1" t="s">
        <v>84</v>
      </c>
      <c r="G176" s="1" t="s">
        <v>184</v>
      </c>
      <c r="H176" s="1" t="s">
        <v>57</v>
      </c>
      <c r="I176" s="4" t="n">
        <v>103.0</v>
      </c>
      <c r="J176" s="2" t="s">
        <v>88</v>
      </c>
      <c r="K176" s="3" t="n">
        <v>0.24</v>
      </c>
      <c r="L176" s="1" t="s">
        <v>24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 t="s">
        <v>23</v>
      </c>
      <c r="K177" s="3" t="n">
        <v>0.11</v>
      </c>
      <c r="L177" s="1" t="s">
        <v>24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 t="s">
        <v>185</v>
      </c>
      <c r="K178" s="3" t="n">
        <v>0.1</v>
      </c>
      <c r="L178" s="17" t="s">
        <v>87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 t="s">
        <v>17</v>
      </c>
      <c r="K179" s="3" t="n">
        <v>0.09</v>
      </c>
      <c r="L179" s="1" t="s">
        <v>18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 t="s">
        <v>95</v>
      </c>
      <c r="K180" s="3" t="n">
        <v>0.07</v>
      </c>
      <c r="L180" s="1" t="s">
        <v>28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 t="s">
        <v>19</v>
      </c>
      <c r="K181" s="3" t="n">
        <v>0.06</v>
      </c>
      <c r="L181" s="1" t="s">
        <v>18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 t="s">
        <v>96</v>
      </c>
      <c r="K182" s="3" t="n">
        <v>0.06</v>
      </c>
      <c r="L182" s="1" t="s">
        <v>47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 t="s">
        <v>186</v>
      </c>
      <c r="K183" s="3" t="n">
        <v>0.06</v>
      </c>
      <c r="L183" s="1" t="s">
        <v>24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 t="s">
        <v>119</v>
      </c>
      <c r="K184" s="3" t="n">
        <v>0.03</v>
      </c>
      <c r="L184" s="1" t="s">
        <v>18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1" t="s">
        <v>20</v>
      </c>
      <c r="K185" s="3" t="n">
        <v>0.18</v>
      </c>
      <c r="L185" s="1" t="s">
        <v>20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3" t="n">
        <v>27.0</v>
      </c>
      <c r="B186" s="3" t="n">
        <v>18.0</v>
      </c>
      <c r="C186" s="4" t="s">
        <v>187</v>
      </c>
      <c r="D186" s="1" t="s">
        <v>188</v>
      </c>
      <c r="E186" s="4" t="s">
        <v>189</v>
      </c>
      <c r="F186" s="1" t="s">
        <v>35</v>
      </c>
      <c r="G186" s="1" t="s">
        <v>36</v>
      </c>
      <c r="H186" s="1" t="s">
        <v>57</v>
      </c>
      <c r="I186" s="13" t="s">
        <v>190</v>
      </c>
      <c r="J186" s="2" t="s">
        <v>191</v>
      </c>
      <c r="K186" s="3" t="n">
        <v>0.16</v>
      </c>
      <c r="L186" s="1" t="s">
        <v>24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 t="s">
        <v>101</v>
      </c>
      <c r="K187" s="3" t="n">
        <v>0.07</v>
      </c>
      <c r="L187" s="1" t="s">
        <v>24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 t="s">
        <v>23</v>
      </c>
      <c r="K188" s="3" t="n">
        <v>0.04</v>
      </c>
      <c r="L188" s="1" t="s">
        <v>24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1" t="s">
        <v>20</v>
      </c>
      <c r="K189" s="3" t="n">
        <v>0.73</v>
      </c>
      <c r="L189" s="1" t="s">
        <v>20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3" t="n">
        <v>28.0</v>
      </c>
      <c r="B190" s="3" t="n">
        <v>19.0</v>
      </c>
      <c r="C190" s="4" t="s">
        <v>192</v>
      </c>
      <c r="D190" s="1" t="s">
        <v>193</v>
      </c>
      <c r="E190" s="4" t="s">
        <v>194</v>
      </c>
      <c r="F190" s="1" t="s">
        <v>15</v>
      </c>
      <c r="G190" s="1" t="s">
        <v>16</v>
      </c>
      <c r="H190" s="4" t="s">
        <v>195</v>
      </c>
      <c r="I190" s="4" t="n">
        <v>63.0</v>
      </c>
      <c r="J190" s="2" t="s">
        <v>196</v>
      </c>
      <c r="K190" s="3" t="n">
        <v>0.09</v>
      </c>
      <c r="L190" s="1" t="s">
        <v>24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 t="s">
        <v>197</v>
      </c>
      <c r="K191" s="3" t="n">
        <v>0.01</v>
      </c>
      <c r="L191" s="1" t="s">
        <v>18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 t="s">
        <v>198</v>
      </c>
      <c r="K192" s="3" t="n">
        <v>0.11</v>
      </c>
      <c r="L192" s="17" t="s">
        <v>199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 t="s">
        <v>195</v>
      </c>
      <c r="K193" s="3" t="n">
        <v>0.02</v>
      </c>
      <c r="L193" s="1" t="s">
        <v>18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 t="s">
        <v>200</v>
      </c>
      <c r="K194" s="3" t="n">
        <v>0.01</v>
      </c>
      <c r="L194" s="1" t="s">
        <v>24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 t="s">
        <v>201</v>
      </c>
      <c r="K195" s="3" t="n">
        <v>0.06</v>
      </c>
      <c r="L195" s="1" t="s">
        <v>24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 t="s">
        <v>17</v>
      </c>
      <c r="K196" s="3" t="n">
        <v>0.01</v>
      </c>
      <c r="L196" s="1" t="s">
        <v>18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 t="s">
        <v>202</v>
      </c>
      <c r="K197" s="3" t="n">
        <v>0.04</v>
      </c>
      <c r="L197" s="17" t="s">
        <v>199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 t="s">
        <v>95</v>
      </c>
      <c r="K198" s="3" t="n">
        <v>0.02</v>
      </c>
      <c r="L198" s="1" t="s">
        <v>28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 t="s">
        <v>203</v>
      </c>
      <c r="K199" s="3" t="n">
        <v>0.09</v>
      </c>
      <c r="L199" s="1" t="s">
        <v>18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3"/>
      <c r="C200" s="3"/>
      <c r="D200" s="3"/>
      <c r="E200" s="3"/>
      <c r="F200" s="3"/>
      <c r="G200" s="3"/>
      <c r="H200" s="3"/>
      <c r="I200" s="2"/>
      <c r="J200" s="2" t="s">
        <v>204</v>
      </c>
      <c r="K200" s="3" t="n">
        <v>0.04</v>
      </c>
      <c r="L200" s="1" t="s">
        <v>18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1" t="s">
        <v>20</v>
      </c>
      <c r="K201" s="3" t="n">
        <v>0.5</v>
      </c>
      <c r="L201" s="1" t="s">
        <v>20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3" t="n">
        <v>29.0</v>
      </c>
      <c r="B202" s="3" t="n">
        <v>19.0</v>
      </c>
      <c r="C202" s="4" t="s">
        <v>192</v>
      </c>
      <c r="D202" s="1" t="s">
        <v>193</v>
      </c>
      <c r="E202" s="4" t="s">
        <v>194</v>
      </c>
      <c r="F202" s="1" t="s">
        <v>15</v>
      </c>
      <c r="G202" s="1" t="s">
        <v>44</v>
      </c>
      <c r="H202" s="4" t="s">
        <v>195</v>
      </c>
      <c r="I202" s="4" t="n">
        <v>39.0</v>
      </c>
      <c r="J202" s="2" t="s">
        <v>79</v>
      </c>
      <c r="K202" s="3" t="n">
        <v>0.02</v>
      </c>
      <c r="L202" s="1" t="s">
        <v>24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 t="s">
        <v>198</v>
      </c>
      <c r="K203" s="3" t="n">
        <v>0.11</v>
      </c>
      <c r="L203" s="17" t="s">
        <v>199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 t="s">
        <v>205</v>
      </c>
      <c r="K204" s="3" t="n">
        <v>0.02</v>
      </c>
      <c r="L204" s="17" t="s">
        <v>199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 t="s">
        <v>200</v>
      </c>
      <c r="K205" s="3" t="n">
        <v>0.05</v>
      </c>
      <c r="L205" s="1" t="s">
        <v>24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 t="s">
        <v>206</v>
      </c>
      <c r="K206" s="3" t="n">
        <v>0.21</v>
      </c>
      <c r="L206" s="1" t="s">
        <v>24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 t="s">
        <v>207</v>
      </c>
      <c r="K207" s="3" t="n">
        <v>0.23</v>
      </c>
      <c r="L207" s="17" t="s">
        <v>199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 t="s">
        <v>208</v>
      </c>
      <c r="K208" s="3" t="n">
        <v>0.1</v>
      </c>
      <c r="L208" s="1" t="s">
        <v>24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 t="s">
        <v>171</v>
      </c>
      <c r="K209" s="3" t="n">
        <v>0.06</v>
      </c>
      <c r="L209" s="1" t="s">
        <v>24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1" t="s">
        <v>20</v>
      </c>
      <c r="K210" s="3" t="n">
        <v>0.2</v>
      </c>
      <c r="L210" s="1" t="s">
        <v>20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3" t="n">
        <v>30.0</v>
      </c>
      <c r="B211" s="3" t="n">
        <v>20.0</v>
      </c>
      <c r="C211" s="1" t="s">
        <v>209</v>
      </c>
      <c r="D211" s="1" t="s">
        <v>210</v>
      </c>
      <c r="E211" s="1" t="s">
        <v>63</v>
      </c>
      <c r="F211" s="1" t="s">
        <v>84</v>
      </c>
      <c r="G211" s="1" t="s">
        <v>16</v>
      </c>
      <c r="H211" s="1" t="s">
        <v>57</v>
      </c>
      <c r="I211" s="4" t="n">
        <v>77.0</v>
      </c>
      <c r="J211" s="2" t="s">
        <v>17</v>
      </c>
      <c r="K211" s="3" t="n">
        <v>0.03</v>
      </c>
      <c r="L211" s="1" t="s">
        <v>18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 t="s">
        <v>203</v>
      </c>
      <c r="K212" s="3" t="n">
        <v>0.02</v>
      </c>
      <c r="L212" s="1" t="s">
        <v>18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 t="s">
        <v>119</v>
      </c>
      <c r="K213" s="3" t="n">
        <v>0.01</v>
      </c>
      <c r="L213" s="1" t="s">
        <v>18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 t="s">
        <v>30</v>
      </c>
      <c r="K214" s="3" t="n">
        <v>0.01</v>
      </c>
      <c r="L214" s="1" t="s">
        <v>18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 t="s">
        <v>19</v>
      </c>
      <c r="K215" s="3" t="n">
        <v>0.03</v>
      </c>
      <c r="L215" s="1" t="s">
        <v>18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 t="s">
        <v>211</v>
      </c>
      <c r="K216" s="3" t="n">
        <v>0.01</v>
      </c>
      <c r="L216" s="1" t="s">
        <v>18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 t="s">
        <v>212</v>
      </c>
      <c r="K217" s="3" t="n">
        <v>0.05</v>
      </c>
      <c r="L217" s="1" t="s">
        <v>28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 t="s">
        <v>213</v>
      </c>
      <c r="K218" s="3" t="n">
        <v>0.04</v>
      </c>
      <c r="L218" s="1" t="s">
        <v>47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 t="s">
        <v>185</v>
      </c>
      <c r="K219" s="3" t="n">
        <v>0.22</v>
      </c>
      <c r="L219" s="17" t="s">
        <v>87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 t="s">
        <v>79</v>
      </c>
      <c r="K220" s="3" t="n">
        <v>0.04</v>
      </c>
      <c r="L220" s="1" t="s">
        <v>24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 t="s">
        <v>214</v>
      </c>
      <c r="K221" s="3" t="n">
        <v>0.03</v>
      </c>
      <c r="L221" s="1" t="s">
        <v>24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 t="s">
        <v>88</v>
      </c>
      <c r="K222" s="3" t="n">
        <v>0.11</v>
      </c>
      <c r="L222" s="1" t="s">
        <v>24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1" t="s">
        <v>20</v>
      </c>
      <c r="K223" s="3" t="n">
        <v>0.4</v>
      </c>
      <c r="L223" s="1" t="s">
        <v>20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3" t="n">
        <v>31.0</v>
      </c>
      <c r="B224" s="3" t="n">
        <v>20.0</v>
      </c>
      <c r="C224" s="1" t="s">
        <v>209</v>
      </c>
      <c r="D224" s="1" t="s">
        <v>210</v>
      </c>
      <c r="E224" s="1" t="s">
        <v>63</v>
      </c>
      <c r="F224" s="1" t="s">
        <v>84</v>
      </c>
      <c r="G224" s="2" t="s">
        <v>44</v>
      </c>
      <c r="H224" s="1" t="s">
        <v>57</v>
      </c>
      <c r="I224" s="3" t="n">
        <v>74.0</v>
      </c>
      <c r="J224" s="2" t="s">
        <v>215</v>
      </c>
      <c r="K224" s="3" t="n">
        <v>0.01</v>
      </c>
      <c r="L224" s="1" t="s">
        <v>18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 t="s">
        <v>95</v>
      </c>
      <c r="K225" s="3" t="n">
        <v>0.06</v>
      </c>
      <c r="L225" s="1" t="s">
        <v>28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 t="s">
        <v>96</v>
      </c>
      <c r="K226" s="3" t="n">
        <v>0.04</v>
      </c>
      <c r="L226" s="1" t="s">
        <v>47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 t="s">
        <v>175</v>
      </c>
      <c r="K227" s="3" t="n">
        <v>0.03</v>
      </c>
      <c r="L227" s="1" t="s">
        <v>24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 t="s">
        <v>102</v>
      </c>
      <c r="K228" s="3" t="n">
        <v>0.03</v>
      </c>
      <c r="L228" s="1" t="s">
        <v>24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 t="s">
        <v>101</v>
      </c>
      <c r="K229" s="3" t="n">
        <v>0.02</v>
      </c>
      <c r="L229" s="1" t="s">
        <v>24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 t="s">
        <v>23</v>
      </c>
      <c r="K230" s="3" t="n">
        <v>0.28</v>
      </c>
      <c r="L230" s="1" t="s">
        <v>24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 t="s">
        <v>78</v>
      </c>
      <c r="K231" s="3" t="n">
        <v>0.05</v>
      </c>
      <c r="L231" s="1" t="s">
        <v>24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 t="s">
        <v>88</v>
      </c>
      <c r="K232" s="3" t="n">
        <v>0.11</v>
      </c>
      <c r="L232" s="1" t="s">
        <v>24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1" t="s">
        <v>20</v>
      </c>
      <c r="K233" s="3" t="n">
        <v>0.37</v>
      </c>
      <c r="L233" s="1" t="s">
        <v>20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3" t="n">
        <v>32.0</v>
      </c>
      <c r="B234" s="3" t="n">
        <v>20.0</v>
      </c>
      <c r="C234" s="1" t="s">
        <v>209</v>
      </c>
      <c r="D234" s="1" t="s">
        <v>210</v>
      </c>
      <c r="E234" s="1" t="s">
        <v>63</v>
      </c>
      <c r="F234" s="1" t="s">
        <v>84</v>
      </c>
      <c r="G234" s="2" t="s">
        <v>216</v>
      </c>
      <c r="H234" s="1" t="s">
        <v>57</v>
      </c>
      <c r="I234" s="3" t="n">
        <v>49.0</v>
      </c>
      <c r="J234" s="2" t="s">
        <v>95</v>
      </c>
      <c r="K234" s="3" t="n">
        <v>0.07</v>
      </c>
      <c r="L234" s="1" t="s">
        <v>28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 t="s">
        <v>212</v>
      </c>
      <c r="K235" s="3" t="n">
        <v>0.06</v>
      </c>
      <c r="L235" s="1" t="s">
        <v>28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 t="s">
        <v>217</v>
      </c>
      <c r="K236" s="3" t="n">
        <v>0.06</v>
      </c>
      <c r="L236" s="1" t="s">
        <v>47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 t="s">
        <v>96</v>
      </c>
      <c r="K237" s="3" t="n">
        <v>0.01</v>
      </c>
      <c r="L237" s="1" t="s">
        <v>47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 t="s">
        <v>88</v>
      </c>
      <c r="K238" s="3" t="n">
        <v>0.08</v>
      </c>
      <c r="L238" s="1" t="s">
        <v>24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 t="s">
        <v>218</v>
      </c>
      <c r="K239" s="3" t="n">
        <v>0.03</v>
      </c>
      <c r="L239" s="1" t="s">
        <v>24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1" t="s">
        <v>20</v>
      </c>
      <c r="K240" s="3" t="n">
        <v>0.69</v>
      </c>
      <c r="L240" s="1" t="s">
        <v>20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3" t="n">
        <v>33.0</v>
      </c>
      <c r="B241" s="3" t="n">
        <v>21.0</v>
      </c>
      <c r="C241" s="19" t="s">
        <v>219</v>
      </c>
      <c r="D241" s="20" t="s">
        <v>220</v>
      </c>
      <c r="E241" s="1" t="s">
        <v>63</v>
      </c>
      <c r="F241" s="1" t="s">
        <v>35</v>
      </c>
      <c r="G241" s="1" t="s">
        <v>36</v>
      </c>
      <c r="H241" s="1" t="s">
        <v>221</v>
      </c>
      <c r="I241" s="4" t="n">
        <v>97.0</v>
      </c>
      <c r="J241" s="2" t="s">
        <v>221</v>
      </c>
      <c r="K241" s="3" t="n">
        <v>0.24</v>
      </c>
      <c r="L241" s="1" t="s">
        <v>18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1" t="s">
        <v>222</v>
      </c>
      <c r="K242" s="3" t="n">
        <v>0.14</v>
      </c>
      <c r="L242" s="1" t="s">
        <v>24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 t="s">
        <v>77</v>
      </c>
      <c r="K243" s="3" t="n">
        <v>0.1</v>
      </c>
      <c r="L243" s="1" t="s">
        <v>24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 t="s">
        <v>223</v>
      </c>
      <c r="K244" s="3" t="n">
        <v>0.07</v>
      </c>
      <c r="L244" s="1" t="s">
        <v>18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1" t="s">
        <v>224</v>
      </c>
      <c r="K245" s="3" t="n">
        <v>0.04</v>
      </c>
      <c r="L245" s="1" t="s">
        <v>28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 t="s">
        <v>225</v>
      </c>
      <c r="K246" s="3" t="n">
        <v>0.04</v>
      </c>
      <c r="L246" s="1" t="s">
        <v>24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 t="s">
        <v>17</v>
      </c>
      <c r="K247" s="3" t="n">
        <v>0.03</v>
      </c>
      <c r="L247" s="1" t="s">
        <v>18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1" t="s">
        <v>20</v>
      </c>
      <c r="K248" s="3" t="n">
        <v>0.34</v>
      </c>
      <c r="L248" s="1" t="s">
        <v>20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3" t="n">
        <v>34.0</v>
      </c>
      <c r="B249" s="3" t="n">
        <v>22.0</v>
      </c>
      <c r="C249" s="4" t="s">
        <v>97</v>
      </c>
      <c r="D249" s="1" t="s">
        <v>98</v>
      </c>
      <c r="E249" s="4" t="s">
        <v>99</v>
      </c>
      <c r="F249" s="1" t="s">
        <v>35</v>
      </c>
      <c r="G249" s="1" t="s">
        <v>226</v>
      </c>
      <c r="H249" s="1" t="s">
        <v>101</v>
      </c>
      <c r="I249" s="4" t="n">
        <v>30.0</v>
      </c>
      <c r="J249" s="2" t="s">
        <v>101</v>
      </c>
      <c r="K249" s="3" t="n">
        <v>0.57</v>
      </c>
      <c r="L249" s="1" t="s">
        <v>24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 t="s">
        <v>23</v>
      </c>
      <c r="K250" s="3" t="n">
        <v>0.17</v>
      </c>
      <c r="L250" s="1" t="s">
        <v>24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 t="s">
        <v>102</v>
      </c>
      <c r="K251" s="3" t="n">
        <v>0.05</v>
      </c>
      <c r="L251" s="1" t="s">
        <v>24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 t="s">
        <v>75</v>
      </c>
      <c r="K252" s="3" t="n">
        <v>0.03</v>
      </c>
      <c r="L252" s="1" t="s">
        <v>24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 t="s">
        <v>95</v>
      </c>
      <c r="K253" s="3" t="n">
        <v>0.03</v>
      </c>
      <c r="L253" s="1" t="s">
        <v>28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 t="s">
        <v>104</v>
      </c>
      <c r="K254" s="3" t="n">
        <v>0.02</v>
      </c>
      <c r="L254" s="1" t="s">
        <v>28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 t="s">
        <v>227</v>
      </c>
      <c r="K255" s="3" t="n">
        <v>0.01</v>
      </c>
      <c r="L255" s="1" t="s">
        <v>28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 t="s">
        <v>105</v>
      </c>
      <c r="K256" s="3" t="n">
        <v>0.01</v>
      </c>
      <c r="L256" s="1" t="s">
        <v>24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 t="s">
        <v>106</v>
      </c>
      <c r="K257" s="3" t="n">
        <v>0.01</v>
      </c>
      <c r="L257" s="1" t="s">
        <v>24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 t="s">
        <v>77</v>
      </c>
      <c r="K258" s="3" t="n">
        <v>0.01</v>
      </c>
      <c r="L258" s="1" t="s">
        <v>24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1" t="s">
        <v>20</v>
      </c>
      <c r="K259" s="3" t="n">
        <v>0.09</v>
      </c>
      <c r="L259" s="1" t="s">
        <v>20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3" t="n">
        <v>35.0</v>
      </c>
      <c r="B260" s="3" t="n">
        <v>23.0</v>
      </c>
      <c r="C260" s="1" t="s">
        <v>228</v>
      </c>
      <c r="D260" s="1" t="s">
        <v>229</v>
      </c>
      <c r="E260" s="1" t="s">
        <v>230</v>
      </c>
      <c r="F260" s="1" t="s">
        <v>84</v>
      </c>
      <c r="G260" s="1" t="s">
        <v>44</v>
      </c>
      <c r="H260" s="1" t="s">
        <v>57</v>
      </c>
      <c r="I260" s="4" t="n">
        <v>19.0</v>
      </c>
      <c r="J260" s="1" t="s">
        <v>89</v>
      </c>
      <c r="K260" s="3" t="n">
        <v>0.25</v>
      </c>
      <c r="L260" s="1" t="s">
        <v>24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1" t="s">
        <v>231</v>
      </c>
      <c r="K261" s="3" t="n">
        <v>0.07</v>
      </c>
      <c r="L261" s="1" t="s">
        <v>24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1" t="s">
        <v>232</v>
      </c>
      <c r="K262" s="3" t="n">
        <v>0.04</v>
      </c>
      <c r="L262" s="1" t="s">
        <v>24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1" t="s">
        <v>233</v>
      </c>
      <c r="K263" s="3" t="n">
        <v>0.18</v>
      </c>
      <c r="L263" s="1" t="s">
        <v>24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1" t="s">
        <v>79</v>
      </c>
      <c r="K264" s="3" t="n">
        <v>0.02</v>
      </c>
      <c r="L264" s="1" t="s">
        <v>24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1" t="s">
        <v>234</v>
      </c>
      <c r="K265" s="3" t="n">
        <v>0.06</v>
      </c>
      <c r="L265" s="1" t="s">
        <v>24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1" t="s">
        <v>106</v>
      </c>
      <c r="K266" s="3" t="n">
        <v>0.06</v>
      </c>
      <c r="L266" s="1" t="s">
        <v>24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1" t="s">
        <v>20</v>
      </c>
      <c r="K267" s="3" t="n">
        <v>0.32</v>
      </c>
      <c r="L267" s="1" t="s">
        <v>20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3" t="n">
        <v>36.0</v>
      </c>
      <c r="B268" s="3" t="n">
        <v>24.0</v>
      </c>
      <c r="C268" s="1" t="s">
        <v>235</v>
      </c>
      <c r="D268" s="1" t="s">
        <v>236</v>
      </c>
      <c r="E268" s="1" t="s">
        <v>237</v>
      </c>
      <c r="F268" s="1" t="s">
        <v>43</v>
      </c>
      <c r="G268" s="1" t="s">
        <v>36</v>
      </c>
      <c r="H268" s="1" t="s">
        <v>57</v>
      </c>
      <c r="I268" s="4" t="n">
        <v>126.0</v>
      </c>
      <c r="J268" s="1" t="s">
        <v>238</v>
      </c>
      <c r="K268" s="3" t="n">
        <v>0.16</v>
      </c>
      <c r="L268" s="1" t="s">
        <v>24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1" t="s">
        <v>78</v>
      </c>
      <c r="K269" s="3" t="n">
        <v>0.09</v>
      </c>
      <c r="L269" s="1" t="s">
        <v>24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1" t="s">
        <v>79</v>
      </c>
      <c r="K270" s="3" t="n">
        <v>0.11</v>
      </c>
      <c r="L270" s="1" t="s">
        <v>24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1" t="s">
        <v>239</v>
      </c>
      <c r="K271" s="3" t="n">
        <v>0.04</v>
      </c>
      <c r="L271" s="1" t="s">
        <v>24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1" t="s">
        <v>20</v>
      </c>
      <c r="K272" s="3" t="n">
        <v>0.6</v>
      </c>
      <c r="L272" s="1" t="s">
        <v>20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3" t="n">
        <v>37.0</v>
      </c>
      <c r="B273" s="3" t="n">
        <v>25.0</v>
      </c>
      <c r="C273" s="1" t="s">
        <v>240</v>
      </c>
      <c r="D273" s="1" t="s">
        <v>241</v>
      </c>
      <c r="E273" s="1" t="s">
        <v>242</v>
      </c>
      <c r="F273" s="1" t="s">
        <v>84</v>
      </c>
      <c r="G273" s="1" t="s">
        <v>36</v>
      </c>
      <c r="H273" s="1" t="s">
        <v>243</v>
      </c>
      <c r="I273" s="4" t="n">
        <v>10.0</v>
      </c>
      <c r="J273" s="2" t="s">
        <v>244</v>
      </c>
      <c r="K273" s="3" t="n">
        <v>0.61</v>
      </c>
      <c r="L273" s="17" t="s">
        <v>245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 t="s">
        <v>17</v>
      </c>
      <c r="K274" s="3" t="n">
        <v>0.21</v>
      </c>
      <c r="L274" s="1" t="s">
        <v>18</v>
      </c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 t="s">
        <v>95</v>
      </c>
      <c r="K275" s="3" t="n">
        <v>0.09</v>
      </c>
      <c r="L275" s="1" t="s">
        <v>28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1" t="s">
        <v>20</v>
      </c>
      <c r="K276" s="3" t="n">
        <v>0.09</v>
      </c>
      <c r="L276" s="1" t="s">
        <v>20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3" t="n">
        <v>38.0</v>
      </c>
      <c r="B277" s="3" t="n">
        <v>25.0</v>
      </c>
      <c r="C277" s="1" t="s">
        <v>240</v>
      </c>
      <c r="D277" s="1" t="s">
        <v>241</v>
      </c>
      <c r="E277" s="1" t="s">
        <v>242</v>
      </c>
      <c r="F277" s="1" t="s">
        <v>84</v>
      </c>
      <c r="G277" s="1" t="s">
        <v>36</v>
      </c>
      <c r="H277" s="1" t="s">
        <v>243</v>
      </c>
      <c r="I277" s="3" t="n">
        <v>12.0</v>
      </c>
      <c r="J277" s="2" t="s">
        <v>244</v>
      </c>
      <c r="K277" s="3" t="n">
        <v>0.28</v>
      </c>
      <c r="L277" s="17" t="s">
        <v>245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 t="s">
        <v>17</v>
      </c>
      <c r="K278" s="3" t="n">
        <v>0.2</v>
      </c>
      <c r="L278" s="1" t="s">
        <v>18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 t="s">
        <v>246</v>
      </c>
      <c r="K279" s="3" t="n">
        <v>0.15</v>
      </c>
      <c r="L279" s="1" t="s">
        <v>47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 t="s">
        <v>247</v>
      </c>
      <c r="K280" s="3" t="n">
        <v>0.1</v>
      </c>
      <c r="L280" s="1" t="s">
        <v>24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 t="s">
        <v>248</v>
      </c>
      <c r="K281" s="3" t="n">
        <v>0.07</v>
      </c>
      <c r="L281" s="1" t="s">
        <v>28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 t="s">
        <v>249</v>
      </c>
      <c r="K282" s="3" t="n">
        <v>0.05</v>
      </c>
      <c r="L282" s="1" t="s">
        <v>28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1" t="s">
        <v>20</v>
      </c>
      <c r="K283" s="3" t="n">
        <v>0.15</v>
      </c>
      <c r="L283" s="1" t="s">
        <v>20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3" t="n">
        <v>39.0</v>
      </c>
      <c r="B284" s="3" t="n">
        <v>25.0</v>
      </c>
      <c r="C284" s="1" t="s">
        <v>240</v>
      </c>
      <c r="D284" s="1" t="s">
        <v>241</v>
      </c>
      <c r="E284" s="1" t="s">
        <v>250</v>
      </c>
      <c r="F284" s="1" t="s">
        <v>84</v>
      </c>
      <c r="G284" s="1" t="s">
        <v>36</v>
      </c>
      <c r="H284" s="1" t="s">
        <v>243</v>
      </c>
      <c r="I284" s="3" t="n">
        <v>12.0</v>
      </c>
      <c r="J284" s="2" t="s">
        <v>17</v>
      </c>
      <c r="K284" s="3" t="n">
        <v>0.17</v>
      </c>
      <c r="L284" s="1" t="s">
        <v>18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 t="s">
        <v>244</v>
      </c>
      <c r="K285" s="3" t="n">
        <v>0.17</v>
      </c>
      <c r="L285" s="17" t="s">
        <v>245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 t="s">
        <v>26</v>
      </c>
      <c r="K286" s="3" t="n">
        <v>0.15</v>
      </c>
      <c r="L286" s="1" t="s">
        <v>24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 t="s">
        <v>95</v>
      </c>
      <c r="K287" s="3" t="n">
        <v>0.14</v>
      </c>
      <c r="L287" s="1" t="s">
        <v>28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 t="s">
        <v>251</v>
      </c>
      <c r="K288" s="3" t="n">
        <v>0.13</v>
      </c>
      <c r="L288" s="1" t="s">
        <v>24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 t="s">
        <v>246</v>
      </c>
      <c r="K289" s="3" t="n">
        <v>0.09</v>
      </c>
      <c r="L289" s="1" t="s">
        <v>47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1" t="s">
        <v>214</v>
      </c>
      <c r="K290" s="3" t="n">
        <v>0.06</v>
      </c>
      <c r="L290" s="1" t="s">
        <v>24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1" t="s">
        <v>20</v>
      </c>
      <c r="K291" s="3" t="n">
        <v>0.09</v>
      </c>
      <c r="L291" s="1" t="s">
        <v>20</v>
      </c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3" t="n">
        <v>40.0</v>
      </c>
      <c r="B292" s="3" t="n">
        <v>25.0</v>
      </c>
      <c r="C292" s="1" t="s">
        <v>240</v>
      </c>
      <c r="D292" s="1" t="s">
        <v>241</v>
      </c>
      <c r="E292" s="1" t="s">
        <v>250</v>
      </c>
      <c r="F292" s="1" t="s">
        <v>84</v>
      </c>
      <c r="G292" s="1" t="s">
        <v>36</v>
      </c>
      <c r="H292" s="1" t="s">
        <v>243</v>
      </c>
      <c r="I292" s="3" t="n">
        <v>12.0</v>
      </c>
      <c r="J292" s="2" t="s">
        <v>17</v>
      </c>
      <c r="K292" s="3" t="n">
        <v>0.34</v>
      </c>
      <c r="L292" s="1" t="s">
        <v>18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 t="s">
        <v>244</v>
      </c>
      <c r="K293" s="3" t="n">
        <v>0.29</v>
      </c>
      <c r="L293" s="17" t="s">
        <v>245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 t="s">
        <v>95</v>
      </c>
      <c r="K294" s="3" t="n">
        <v>0.13</v>
      </c>
      <c r="L294" s="1" t="s">
        <v>28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 t="s">
        <v>246</v>
      </c>
      <c r="K295" s="3" t="n">
        <v>0.11</v>
      </c>
      <c r="L295" s="1" t="s">
        <v>47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 t="s">
        <v>119</v>
      </c>
      <c r="K296" s="3" t="n">
        <v>0.05</v>
      </c>
      <c r="L296" s="1" t="s">
        <v>18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1" t="s">
        <v>20</v>
      </c>
      <c r="K297" s="3" t="n">
        <v>0.08</v>
      </c>
      <c r="L297" s="1" t="s">
        <v>20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3" t="n">
        <v>41.0</v>
      </c>
      <c r="B298" s="3" t="n">
        <v>26.0</v>
      </c>
      <c r="C298" s="16" t="s">
        <v>252</v>
      </c>
      <c r="D298" s="1" t="s">
        <v>253</v>
      </c>
      <c r="E298" s="1" t="s">
        <v>189</v>
      </c>
      <c r="F298" s="1" t="s">
        <v>35</v>
      </c>
      <c r="G298" s="1" t="s">
        <v>16</v>
      </c>
      <c r="H298" s="1" t="s">
        <v>57</v>
      </c>
      <c r="I298" s="4" t="n">
        <v>28.0</v>
      </c>
      <c r="J298" s="2" t="s">
        <v>254</v>
      </c>
      <c r="K298" s="3" t="n">
        <v>0.22</v>
      </c>
      <c r="L298" s="1" t="s">
        <v>24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 t="s">
        <v>255</v>
      </c>
      <c r="K299" s="3" t="n">
        <v>0.13</v>
      </c>
      <c r="L299" s="1" t="s">
        <v>24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 t="s">
        <v>256</v>
      </c>
      <c r="K300" s="3" t="n">
        <v>0.08</v>
      </c>
      <c r="L300" s="1" t="s">
        <v>24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 t="s">
        <v>257</v>
      </c>
      <c r="K301" s="3" t="n">
        <v>0.07</v>
      </c>
      <c r="L301" s="1" t="s">
        <v>24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 t="s">
        <v>258</v>
      </c>
      <c r="K302" s="3" t="n">
        <v>0.05</v>
      </c>
      <c r="L302" s="1" t="s">
        <v>24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 t="s">
        <v>259</v>
      </c>
      <c r="K303" s="3" t="n">
        <v>0.04</v>
      </c>
      <c r="L303" s="1" t="s">
        <v>24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 t="s">
        <v>260</v>
      </c>
      <c r="K304" s="3" t="n">
        <v>0.03</v>
      </c>
      <c r="L304" s="1" t="s">
        <v>24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 t="s">
        <v>261</v>
      </c>
      <c r="K305" s="3" t="n">
        <v>0.02</v>
      </c>
      <c r="L305" s="1" t="s">
        <v>24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1" t="s">
        <v>20</v>
      </c>
      <c r="K306" s="3" t="n">
        <v>0.36</v>
      </c>
      <c r="L306" s="1" t="s">
        <v>20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3" t="n">
        <v>42.0</v>
      </c>
      <c r="B307" s="3" t="n">
        <v>26.0</v>
      </c>
      <c r="C307" s="16" t="s">
        <v>252</v>
      </c>
      <c r="D307" s="1" t="s">
        <v>253</v>
      </c>
      <c r="E307" s="1" t="s">
        <v>189</v>
      </c>
      <c r="F307" s="1" t="s">
        <v>35</v>
      </c>
      <c r="G307" s="1" t="s">
        <v>44</v>
      </c>
      <c r="H307" s="1" t="s">
        <v>57</v>
      </c>
      <c r="I307" s="3" t="n">
        <v>29.0</v>
      </c>
      <c r="J307" s="2" t="s">
        <v>262</v>
      </c>
      <c r="K307" s="3" t="n">
        <v>0.14</v>
      </c>
      <c r="L307" s="1" t="s">
        <v>24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1" t="s">
        <v>263</v>
      </c>
      <c r="K308" s="3" t="n">
        <v>0.08</v>
      </c>
      <c r="L308" s="1" t="s">
        <v>24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 t="s">
        <v>264</v>
      </c>
      <c r="K309" s="3" t="n">
        <v>0.08</v>
      </c>
      <c r="L309" s="1" t="s">
        <v>24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 t="s">
        <v>265</v>
      </c>
      <c r="K310" s="3" t="n">
        <v>0.07</v>
      </c>
      <c r="L310" s="1" t="s">
        <v>24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 t="s">
        <v>266</v>
      </c>
      <c r="K311" s="3" t="n">
        <v>0.04</v>
      </c>
      <c r="L311" s="1" t="s">
        <v>24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1" t="s">
        <v>267</v>
      </c>
      <c r="K312" s="3" t="n">
        <v>0.03</v>
      </c>
      <c r="L312" s="1" t="s">
        <v>24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 t="s">
        <v>268</v>
      </c>
      <c r="K313" s="3" t="n">
        <v>0.03</v>
      </c>
      <c r="L313" s="1" t="s">
        <v>24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 t="s">
        <v>255</v>
      </c>
      <c r="K314" s="3" t="n">
        <v>0.03</v>
      </c>
      <c r="L314" s="1" t="s">
        <v>24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 t="s">
        <v>269</v>
      </c>
      <c r="K315" s="3" t="n">
        <v>0.03</v>
      </c>
      <c r="L315" s="1" t="s">
        <v>24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 t="s">
        <v>101</v>
      </c>
      <c r="K316" s="3" t="n">
        <v>0.02</v>
      </c>
      <c r="L316" s="1" t="s">
        <v>24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 t="s">
        <v>23</v>
      </c>
      <c r="K317" s="3" t="n">
        <v>0.02</v>
      </c>
      <c r="L317" s="1" t="s">
        <v>24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1" t="s">
        <v>20</v>
      </c>
      <c r="K318" s="3" t="n">
        <v>0.43</v>
      </c>
      <c r="L318" s="1" t="s">
        <v>20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3" t="n">
        <v>43.0</v>
      </c>
      <c r="B319" s="4" t="n">
        <v>27.0</v>
      </c>
      <c r="C319" s="4" t="s">
        <v>270</v>
      </c>
      <c r="D319" s="1" t="s">
        <v>271</v>
      </c>
      <c r="E319" s="1" t="s">
        <v>272</v>
      </c>
      <c r="F319" s="1" t="s">
        <v>84</v>
      </c>
      <c r="G319" s="1" t="s">
        <v>44</v>
      </c>
      <c r="H319" s="1" t="s">
        <v>57</v>
      </c>
      <c r="I319" s="4" t="n">
        <v>28.0</v>
      </c>
      <c r="J319" s="1" t="s">
        <v>58</v>
      </c>
      <c r="K319" s="1" t="s">
        <v>58</v>
      </c>
      <c r="L319" s="1" t="s">
        <v>58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3" t="n">
        <v>44.0</v>
      </c>
      <c r="B320" s="3" t="n">
        <v>28.0</v>
      </c>
      <c r="C320" s="4" t="s">
        <v>273</v>
      </c>
      <c r="D320" s="1" t="s">
        <v>274</v>
      </c>
      <c r="E320" s="4" t="s">
        <v>60</v>
      </c>
      <c r="F320" s="1" t="s">
        <v>84</v>
      </c>
      <c r="G320" s="1" t="s">
        <v>44</v>
      </c>
      <c r="H320" s="1" t="s">
        <v>57</v>
      </c>
      <c r="I320" s="4" t="n">
        <v>11.0</v>
      </c>
      <c r="J320" s="1" t="s">
        <v>23</v>
      </c>
      <c r="K320" s="3" t="n">
        <v>0.04</v>
      </c>
      <c r="L320" s="1" t="s">
        <v>24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1" t="s">
        <v>275</v>
      </c>
      <c r="K321" s="3" t="n">
        <v>0.06</v>
      </c>
      <c r="L321" s="1" t="s">
        <v>24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1" t="s">
        <v>180</v>
      </c>
      <c r="K322" s="3" t="n">
        <v>0.35</v>
      </c>
      <c r="L322" s="1" t="s">
        <v>24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1" t="s">
        <v>79</v>
      </c>
      <c r="K323" s="3" t="n">
        <v>0.07</v>
      </c>
      <c r="L323" s="1" t="s">
        <v>24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1" t="s">
        <v>255</v>
      </c>
      <c r="K324" s="3" t="n">
        <v>0.1</v>
      </c>
      <c r="L324" s="1" t="s">
        <v>24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1" t="s">
        <v>123</v>
      </c>
      <c r="K325" s="3" t="n">
        <v>0.25</v>
      </c>
      <c r="L325" s="1" t="s">
        <v>24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1" t="s">
        <v>27</v>
      </c>
      <c r="K326" s="3" t="n">
        <v>0.06</v>
      </c>
      <c r="L326" s="1" t="s">
        <v>28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1" t="s">
        <v>20</v>
      </c>
      <c r="K327" s="3" t="n">
        <v>0.07</v>
      </c>
      <c r="L327" s="1" t="s">
        <v>20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3" t="n">
        <v>45.0</v>
      </c>
      <c r="B328" s="3" t="n">
        <v>28.0</v>
      </c>
      <c r="C328" s="4" t="s">
        <v>273</v>
      </c>
      <c r="D328" s="1" t="s">
        <v>274</v>
      </c>
      <c r="E328" s="4" t="s">
        <v>60</v>
      </c>
      <c r="F328" s="1" t="s">
        <v>84</v>
      </c>
      <c r="G328" s="1" t="s">
        <v>216</v>
      </c>
      <c r="H328" s="1" t="s">
        <v>57</v>
      </c>
      <c r="I328" s="3" t="n">
        <v>4.0</v>
      </c>
      <c r="J328" s="1" t="s">
        <v>89</v>
      </c>
      <c r="K328" s="3" t="n">
        <v>0.88</v>
      </c>
      <c r="L328" s="1" t="s">
        <v>24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1" t="s">
        <v>276</v>
      </c>
      <c r="K329" s="3" t="n">
        <v>0.07</v>
      </c>
      <c r="L329" s="1" t="s">
        <v>24</v>
      </c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1" t="s">
        <v>277</v>
      </c>
      <c r="K330" s="3" t="n">
        <v>0.04</v>
      </c>
      <c r="L330" s="17" t="s">
        <v>278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1" t="s">
        <v>20</v>
      </c>
      <c r="K331" s="3" t="n">
        <v>0.01</v>
      </c>
      <c r="L331" s="1" t="s">
        <v>20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3" t="n">
        <v>46.0</v>
      </c>
      <c r="B332" s="3" t="n">
        <v>28.0</v>
      </c>
      <c r="C332" s="4" t="s">
        <v>273</v>
      </c>
      <c r="D332" s="1" t="s">
        <v>274</v>
      </c>
      <c r="E332" s="4" t="s">
        <v>60</v>
      </c>
      <c r="F332" s="1" t="s">
        <v>84</v>
      </c>
      <c r="G332" s="1" t="s">
        <v>16</v>
      </c>
      <c r="H332" s="1" t="s">
        <v>57</v>
      </c>
      <c r="I332" s="3" t="n">
        <v>10.0</v>
      </c>
      <c r="J332" s="1" t="s">
        <v>279</v>
      </c>
      <c r="K332" s="3" t="n">
        <v>0.11</v>
      </c>
      <c r="L332" s="1" t="s">
        <v>24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1" t="s">
        <v>280</v>
      </c>
      <c r="K333" s="3" t="n">
        <v>0.07</v>
      </c>
      <c r="L333" s="1" t="s">
        <v>24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1" t="s">
        <v>89</v>
      </c>
      <c r="K334" s="3" t="n">
        <v>0.05</v>
      </c>
      <c r="L334" s="1" t="s">
        <v>24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1" t="s">
        <v>281</v>
      </c>
      <c r="K335" s="3" t="n">
        <v>0.05</v>
      </c>
      <c r="L335" s="1" t="s">
        <v>24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1" t="s">
        <v>276</v>
      </c>
      <c r="K336" s="3" t="n">
        <v>0.09</v>
      </c>
      <c r="L336" s="1" t="s">
        <v>24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1" t="s">
        <v>17</v>
      </c>
      <c r="K337" s="3" t="n">
        <v>0.14</v>
      </c>
      <c r="L337" s="1" t="s">
        <v>18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1" t="s">
        <v>20</v>
      </c>
      <c r="K338" s="3" t="n">
        <v>0.49</v>
      </c>
      <c r="L338" s="1" t="s">
        <v>20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3" t="n">
        <v>47.0</v>
      </c>
      <c r="B339" s="3" t="n">
        <v>28.0</v>
      </c>
      <c r="C339" s="4" t="s">
        <v>273</v>
      </c>
      <c r="D339" s="1" t="s">
        <v>274</v>
      </c>
      <c r="E339" s="4" t="s">
        <v>60</v>
      </c>
      <c r="F339" s="1" t="s">
        <v>84</v>
      </c>
      <c r="G339" s="1" t="s">
        <v>22</v>
      </c>
      <c r="H339" s="1" t="s">
        <v>57</v>
      </c>
      <c r="I339" s="3" t="n">
        <v>6.0</v>
      </c>
      <c r="J339" s="1" t="s">
        <v>254</v>
      </c>
      <c r="K339" s="3" t="n">
        <v>0.03</v>
      </c>
      <c r="L339" s="1" t="s">
        <v>24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1" t="s">
        <v>90</v>
      </c>
      <c r="K340" s="3" t="n">
        <v>0.37</v>
      </c>
      <c r="L340" s="1" t="s">
        <v>24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1" t="s">
        <v>282</v>
      </c>
      <c r="K341" s="3" t="n">
        <v>0.3</v>
      </c>
      <c r="L341" s="1" t="s">
        <v>24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1" t="s">
        <v>89</v>
      </c>
      <c r="K342" s="3" t="n">
        <v>0.09</v>
      </c>
      <c r="L342" s="1" t="s">
        <v>24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1" t="s">
        <v>27</v>
      </c>
      <c r="K343" s="3" t="n">
        <v>0.17</v>
      </c>
      <c r="L343" s="1" t="s">
        <v>28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1" t="s">
        <v>20</v>
      </c>
      <c r="K344" s="3" t="n">
        <v>0.04</v>
      </c>
      <c r="L344" s="1" t="s">
        <v>20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3" t="n">
        <v>48.0</v>
      </c>
      <c r="B345" s="3" t="n">
        <v>29.0</v>
      </c>
      <c r="C345" s="4" t="s">
        <v>283</v>
      </c>
      <c r="D345" s="1" t="s">
        <v>284</v>
      </c>
      <c r="E345" s="4" t="s">
        <v>285</v>
      </c>
      <c r="F345" s="1" t="s">
        <v>35</v>
      </c>
      <c r="G345" s="1" t="s">
        <v>138</v>
      </c>
      <c r="H345" s="1" t="s">
        <v>57</v>
      </c>
      <c r="I345" s="4" t="n">
        <v>25.0</v>
      </c>
      <c r="J345" s="2" t="s">
        <v>215</v>
      </c>
      <c r="K345" s="3" t="n">
        <v>0.29</v>
      </c>
      <c r="L345" s="1" t="s">
        <v>18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 t="s">
        <v>286</v>
      </c>
      <c r="K346" s="3" t="n">
        <v>0.23</v>
      </c>
      <c r="L346" s="1" t="s">
        <v>18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1" t="s">
        <v>287</v>
      </c>
      <c r="K347" s="3" t="n">
        <v>0.15</v>
      </c>
      <c r="L347" s="1" t="s">
        <v>28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 t="s">
        <v>288</v>
      </c>
      <c r="K348" s="3" t="n">
        <v>0.09</v>
      </c>
      <c r="L348" s="1" t="s">
        <v>28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1" t="s">
        <v>20</v>
      </c>
      <c r="K349" s="3" t="n">
        <v>0.24</v>
      </c>
      <c r="L349" s="1" t="s">
        <v>20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3" t="n">
        <v>49.0</v>
      </c>
      <c r="B350" s="3" t="n">
        <v>30.0</v>
      </c>
      <c r="C350" s="4" t="s">
        <v>289</v>
      </c>
      <c r="D350" s="1" t="s">
        <v>290</v>
      </c>
      <c r="E350" s="4" t="s">
        <v>291</v>
      </c>
      <c r="F350" s="1" t="s">
        <v>43</v>
      </c>
      <c r="G350" s="1" t="s">
        <v>36</v>
      </c>
      <c r="H350" s="4" t="s">
        <v>109</v>
      </c>
      <c r="I350" s="13" t="s">
        <v>292</v>
      </c>
      <c r="J350" s="2" t="s">
        <v>109</v>
      </c>
      <c r="K350" s="3" t="n">
        <v>0.69</v>
      </c>
      <c r="L350" s="1" t="s">
        <v>47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1" t="s">
        <v>293</v>
      </c>
      <c r="K351" s="3" t="n">
        <v>0.12</v>
      </c>
      <c r="L351" s="1" t="s">
        <v>24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 t="s">
        <v>294</v>
      </c>
      <c r="K352" s="3" t="n">
        <v>0.07</v>
      </c>
      <c r="L352" s="1" t="s">
        <v>24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 t="s">
        <v>295</v>
      </c>
      <c r="K353" s="3" t="n">
        <v>0.04</v>
      </c>
      <c r="L353" s="1" t="s">
        <v>24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 t="s">
        <v>101</v>
      </c>
      <c r="K354" s="3" t="n">
        <v>0.03</v>
      </c>
      <c r="L354" s="1" t="s">
        <v>47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1" t="s">
        <v>20</v>
      </c>
      <c r="K355" s="3" t="n">
        <v>0.05</v>
      </c>
      <c r="L355" s="1" t="s">
        <v>20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3" t="n">
        <v>50.0</v>
      </c>
      <c r="B356" s="3" t="n">
        <v>31.0</v>
      </c>
      <c r="C356" s="1" t="s">
        <v>296</v>
      </c>
      <c r="D356" s="1" t="s">
        <v>297</v>
      </c>
      <c r="E356" s="4" t="s">
        <v>298</v>
      </c>
      <c r="F356" s="1" t="s">
        <v>35</v>
      </c>
      <c r="G356" s="1" t="s">
        <v>299</v>
      </c>
      <c r="H356" s="1" t="s">
        <v>300</v>
      </c>
      <c r="I356" s="13" t="s">
        <v>292</v>
      </c>
      <c r="J356" s="1" t="s">
        <v>66</v>
      </c>
      <c r="K356" s="3" t="n">
        <v>0.35</v>
      </c>
      <c r="L356" s="1" t="s">
        <v>24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1" t="s">
        <v>215</v>
      </c>
      <c r="K357" s="3" t="n">
        <v>0.26</v>
      </c>
      <c r="L357" s="1" t="s">
        <v>18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 t="s">
        <v>301</v>
      </c>
      <c r="K358" s="3" t="n">
        <v>0.05</v>
      </c>
      <c r="L358" s="1" t="s">
        <v>24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1" t="s">
        <v>302</v>
      </c>
      <c r="K359" s="3" t="n">
        <v>0.03</v>
      </c>
      <c r="L359" s="1" t="s">
        <v>18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1" t="s">
        <v>244</v>
      </c>
      <c r="K360" s="3" t="n">
        <v>0.24</v>
      </c>
      <c r="L360" s="17" t="s">
        <v>303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1" t="s">
        <v>20</v>
      </c>
      <c r="K361" s="3" t="n">
        <v>0.07</v>
      </c>
      <c r="L361" s="1" t="s">
        <v>20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3" t="n">
        <v>51.0</v>
      </c>
      <c r="B362" s="3" t="n">
        <v>31.0</v>
      </c>
      <c r="C362" s="1" t="s">
        <v>296</v>
      </c>
      <c r="D362" s="1" t="s">
        <v>297</v>
      </c>
      <c r="E362" s="4" t="s">
        <v>298</v>
      </c>
      <c r="F362" s="1" t="s">
        <v>35</v>
      </c>
      <c r="G362" s="1" t="s">
        <v>304</v>
      </c>
      <c r="H362" s="1" t="s">
        <v>300</v>
      </c>
      <c r="I362" s="13" t="s">
        <v>292</v>
      </c>
      <c r="J362" s="1" t="s">
        <v>66</v>
      </c>
      <c r="K362" s="3" t="n">
        <v>0.47</v>
      </c>
      <c r="L362" s="1" t="s">
        <v>24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1" t="s">
        <v>215</v>
      </c>
      <c r="K363" s="3" t="n">
        <v>0.31</v>
      </c>
      <c r="L363" s="1" t="s">
        <v>18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 t="s">
        <v>301</v>
      </c>
      <c r="K364" s="3" t="n">
        <v>0.12</v>
      </c>
      <c r="L364" s="1" t="s">
        <v>24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1" t="s">
        <v>302</v>
      </c>
      <c r="K365" s="3" t="n">
        <v>0.03</v>
      </c>
      <c r="L365" s="1" t="s">
        <v>18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1" t="s">
        <v>20</v>
      </c>
      <c r="K366" s="3" t="n">
        <v>0.07</v>
      </c>
      <c r="L366" s="1" t="s">
        <v>20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3" t="n">
        <v>52.0</v>
      </c>
      <c r="B367" s="3" t="n">
        <v>31.0</v>
      </c>
      <c r="C367" s="1" t="s">
        <v>296</v>
      </c>
      <c r="D367" s="1" t="s">
        <v>297</v>
      </c>
      <c r="E367" s="4" t="s">
        <v>298</v>
      </c>
      <c r="F367" s="1" t="s">
        <v>35</v>
      </c>
      <c r="G367" s="1" t="s">
        <v>305</v>
      </c>
      <c r="H367" s="1" t="s">
        <v>300</v>
      </c>
      <c r="I367" s="13" t="s">
        <v>292</v>
      </c>
      <c r="J367" s="1" t="s">
        <v>66</v>
      </c>
      <c r="K367" s="3" t="n">
        <v>0.63</v>
      </c>
      <c r="L367" s="1" t="s">
        <v>24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1" t="s">
        <v>215</v>
      </c>
      <c r="K368" s="3" t="n">
        <v>0.19</v>
      </c>
      <c r="L368" s="1" t="s">
        <v>18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4" t="s">
        <v>301</v>
      </c>
      <c r="K369" s="3" t="n">
        <v>0.02</v>
      </c>
      <c r="L369" s="1" t="s">
        <v>24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1" t="s">
        <v>302</v>
      </c>
      <c r="K370" s="3" t="n">
        <v>0.03</v>
      </c>
      <c r="L370" s="1" t="s">
        <v>18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1" t="s">
        <v>244</v>
      </c>
      <c r="K371" s="3" t="n">
        <v>0.03</v>
      </c>
      <c r="L371" s="17" t="s">
        <v>303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1" t="s">
        <v>20</v>
      </c>
      <c r="K372" s="3" t="n">
        <v>0.1</v>
      </c>
      <c r="L372" s="1" t="s">
        <v>20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3" t="n">
        <v>53.0</v>
      </c>
      <c r="B373" s="3" t="n">
        <v>32.0</v>
      </c>
      <c r="C373" s="1" t="s">
        <v>306</v>
      </c>
      <c r="D373" s="2"/>
      <c r="E373" s="1" t="s">
        <v>307</v>
      </c>
      <c r="F373" s="1" t="s">
        <v>84</v>
      </c>
      <c r="G373" s="1" t="s">
        <v>36</v>
      </c>
      <c r="H373" s="1" t="s">
        <v>57</v>
      </c>
      <c r="I373" s="4" t="n">
        <v>25.0</v>
      </c>
      <c r="J373" s="1" t="s">
        <v>58</v>
      </c>
      <c r="K373" s="1" t="s">
        <v>58</v>
      </c>
      <c r="L373" s="1" t="s">
        <v>58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3" t="n">
        <v>54.0</v>
      </c>
      <c r="B374" s="3" t="n">
        <v>33.0</v>
      </c>
      <c r="C374" s="4" t="s">
        <v>308</v>
      </c>
      <c r="D374" s="1" t="s">
        <v>309</v>
      </c>
      <c r="E374" s="4" t="s">
        <v>310</v>
      </c>
      <c r="F374" s="1" t="s">
        <v>15</v>
      </c>
      <c r="G374" s="1" t="s">
        <v>311</v>
      </c>
      <c r="H374" s="4" t="s">
        <v>17</v>
      </c>
      <c r="I374" s="4" t="n">
        <v>12.0</v>
      </c>
      <c r="J374" s="2" t="s">
        <v>17</v>
      </c>
      <c r="K374" s="3" t="n">
        <v>0.52</v>
      </c>
      <c r="L374" s="1" t="s">
        <v>18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1" t="s">
        <v>20</v>
      </c>
      <c r="K375" s="3" t="n">
        <v>0.48</v>
      </c>
      <c r="L375" s="1" t="s">
        <v>20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3" t="n">
        <v>55.0</v>
      </c>
      <c r="B376" s="3" t="n">
        <v>33.0</v>
      </c>
      <c r="C376" s="4" t="s">
        <v>308</v>
      </c>
      <c r="D376" s="1" t="s">
        <v>309</v>
      </c>
      <c r="E376" s="1" t="s">
        <v>312</v>
      </c>
      <c r="F376" s="1" t="s">
        <v>15</v>
      </c>
      <c r="G376" s="1" t="s">
        <v>311</v>
      </c>
      <c r="H376" s="4" t="s">
        <v>17</v>
      </c>
      <c r="I376" s="4" t="n">
        <v>12.0</v>
      </c>
      <c r="J376" s="2" t="s">
        <v>17</v>
      </c>
      <c r="K376" s="3" t="n">
        <v>0.16</v>
      </c>
      <c r="L376" s="1" t="s">
        <v>18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1" t="s">
        <v>20</v>
      </c>
      <c r="K377" s="3" t="n">
        <v>0.84</v>
      </c>
      <c r="L377" s="1" t="s">
        <v>20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3" t="n">
        <v>56.0</v>
      </c>
      <c r="B378" s="3" t="n">
        <v>33.0</v>
      </c>
      <c r="C378" s="4" t="s">
        <v>308</v>
      </c>
      <c r="D378" s="1" t="s">
        <v>309</v>
      </c>
      <c r="E378" s="4" t="s">
        <v>60</v>
      </c>
      <c r="F378" s="1" t="s">
        <v>15</v>
      </c>
      <c r="G378" s="1" t="s">
        <v>311</v>
      </c>
      <c r="H378" s="4" t="s">
        <v>17</v>
      </c>
      <c r="I378" s="4" t="n">
        <v>12.0</v>
      </c>
      <c r="J378" s="2" t="s">
        <v>17</v>
      </c>
      <c r="K378" s="3" t="n">
        <v>0.29</v>
      </c>
      <c r="L378" s="1" t="s">
        <v>18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1" t="s">
        <v>20</v>
      </c>
      <c r="K379" s="3" t="n">
        <v>0.71</v>
      </c>
      <c r="L379" s="1" t="s">
        <v>20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3" t="n">
        <v>57.0</v>
      </c>
      <c r="B380" s="3" t="n">
        <v>34.0</v>
      </c>
      <c r="C380" s="4" t="s">
        <v>313</v>
      </c>
      <c r="D380" s="1" t="s">
        <v>314</v>
      </c>
      <c r="E380" s="4" t="s">
        <v>315</v>
      </c>
      <c r="F380" s="1" t="s">
        <v>35</v>
      </c>
      <c r="G380" s="1" t="s">
        <v>316</v>
      </c>
      <c r="H380" s="4" t="s">
        <v>317</v>
      </c>
      <c r="I380" s="4" t="n">
        <v>75.0</v>
      </c>
      <c r="J380" s="2" t="s">
        <v>223</v>
      </c>
      <c r="K380" s="3" t="n">
        <v>0.08</v>
      </c>
      <c r="L380" s="1" t="s">
        <v>18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 t="s">
        <v>195</v>
      </c>
      <c r="K381" s="3" t="n">
        <v>0.12</v>
      </c>
      <c r="L381" s="1" t="s">
        <v>18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 t="s">
        <v>30</v>
      </c>
      <c r="K382" s="3" t="n">
        <v>0.07</v>
      </c>
      <c r="L382" s="1" t="s">
        <v>18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 t="s">
        <v>215</v>
      </c>
      <c r="K383" s="3" t="n">
        <v>0.04</v>
      </c>
      <c r="L383" s="1" t="s">
        <v>18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 t="s">
        <v>318</v>
      </c>
      <c r="K384" s="3" t="n">
        <v>0.02</v>
      </c>
      <c r="L384" s="1" t="s">
        <v>18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 t="s">
        <v>66</v>
      </c>
      <c r="K385" s="3" t="n">
        <v>0.08</v>
      </c>
      <c r="L385" s="1" t="s">
        <v>24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 t="s">
        <v>95</v>
      </c>
      <c r="K386" s="3" t="n">
        <v>0.08</v>
      </c>
      <c r="L386" s="1" t="s">
        <v>28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 t="s">
        <v>319</v>
      </c>
      <c r="K387" s="3" t="n">
        <v>0.02</v>
      </c>
      <c r="L387" s="1" t="s">
        <v>18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 t="s">
        <v>320</v>
      </c>
      <c r="K388" s="3" t="n">
        <v>0.05</v>
      </c>
      <c r="L388" s="1" t="s">
        <v>24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1" t="s">
        <v>20</v>
      </c>
      <c r="K389" s="3" t="n">
        <v>0.44</v>
      </c>
      <c r="L389" s="1" t="s">
        <v>20</v>
      </c>
      <c r="M389" s="2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3" t="n">
        <v>58.0</v>
      </c>
      <c r="B390" s="3" t="n">
        <v>35.0</v>
      </c>
      <c r="C390" s="4" t="s">
        <v>321</v>
      </c>
      <c r="D390" s="1" t="s">
        <v>322</v>
      </c>
      <c r="E390" s="4" t="s">
        <v>323</v>
      </c>
      <c r="F390" s="1" t="s">
        <v>35</v>
      </c>
      <c r="G390" s="1" t="s">
        <v>36</v>
      </c>
      <c r="H390" s="1" t="s">
        <v>57</v>
      </c>
      <c r="I390" s="4" t="n">
        <v>112.0</v>
      </c>
      <c r="J390" s="1" t="s">
        <v>58</v>
      </c>
      <c r="K390" s="1" t="s">
        <v>58</v>
      </c>
      <c r="L390" s="1" t="s">
        <v>58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3" t="n">
        <v>59.0</v>
      </c>
      <c r="B391" s="4" t="n">
        <v>36.0</v>
      </c>
      <c r="C391" s="4" t="s">
        <v>324</v>
      </c>
      <c r="D391" s="1" t="s">
        <v>241</v>
      </c>
      <c r="E391" s="1" t="s">
        <v>325</v>
      </c>
      <c r="F391" s="1" t="s">
        <v>84</v>
      </c>
      <c r="G391" s="1" t="s">
        <v>36</v>
      </c>
      <c r="H391" s="1" t="s">
        <v>57</v>
      </c>
      <c r="I391" s="1" t="s">
        <v>326</v>
      </c>
      <c r="J391" s="1" t="s">
        <v>327</v>
      </c>
      <c r="K391" s="3" t="n">
        <v>0.42</v>
      </c>
      <c r="L391" s="1" t="s">
        <v>24</v>
      </c>
      <c r="M391" s="17" t="s">
        <v>328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1" t="s">
        <v>26</v>
      </c>
      <c r="K392" s="3" t="n">
        <v>0.15</v>
      </c>
      <c r="L392" s="1" t="s">
        <v>24</v>
      </c>
      <c r="M392" s="17" t="s">
        <v>328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1" t="s">
        <v>180</v>
      </c>
      <c r="K393" s="3" t="n">
        <v>0.06</v>
      </c>
      <c r="L393" s="1" t="s">
        <v>24</v>
      </c>
      <c r="M393" s="17" t="s">
        <v>328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1" t="s">
        <v>244</v>
      </c>
      <c r="K394" s="4" t="n">
        <v>0.05</v>
      </c>
      <c r="L394" s="17" t="s">
        <v>87</v>
      </c>
      <c r="M394" s="17" t="s">
        <v>328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1" t="s">
        <v>101</v>
      </c>
      <c r="K395" s="3" t="n">
        <v>0.04</v>
      </c>
      <c r="L395" s="1" t="s">
        <v>24</v>
      </c>
      <c r="M395" s="17" t="s">
        <v>328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1" t="s">
        <v>329</v>
      </c>
      <c r="K396" s="3" t="n">
        <v>0.03</v>
      </c>
      <c r="L396" s="17" t="s">
        <v>87</v>
      </c>
      <c r="M396" s="17" t="s">
        <v>328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1" t="s">
        <v>142</v>
      </c>
      <c r="K397" s="3" t="n">
        <v>0.03</v>
      </c>
      <c r="L397" s="1" t="s">
        <v>24</v>
      </c>
      <c r="M397" s="17" t="s">
        <v>328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1" t="s">
        <v>330</v>
      </c>
      <c r="K398" s="3" t="n">
        <v>0.02</v>
      </c>
      <c r="L398" s="1" t="s">
        <v>24</v>
      </c>
      <c r="M398" s="17" t="s">
        <v>328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1" t="s">
        <v>17</v>
      </c>
      <c r="K399" s="3" t="n">
        <v>0.02</v>
      </c>
      <c r="L399" s="1" t="s">
        <v>18</v>
      </c>
      <c r="M399" s="17" t="s">
        <v>328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1" t="s">
        <v>254</v>
      </c>
      <c r="K400" s="3" t="n">
        <v>0.02</v>
      </c>
      <c r="L400" s="1" t="s">
        <v>24</v>
      </c>
      <c r="M400" s="17" t="s">
        <v>328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1" t="s">
        <v>123</v>
      </c>
      <c r="K401" s="3" t="n">
        <v>0.01</v>
      </c>
      <c r="L401" s="1" t="s">
        <v>24</v>
      </c>
      <c r="M401" s="17" t="s">
        <v>328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1" t="s">
        <v>331</v>
      </c>
      <c r="K402" s="3" t="n">
        <v>0.01</v>
      </c>
      <c r="L402" s="1" t="s">
        <v>24</v>
      </c>
      <c r="M402" s="17" t="s">
        <v>328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1" t="s">
        <v>332</v>
      </c>
      <c r="K403" s="3" t="n">
        <v>0.01</v>
      </c>
      <c r="L403" s="1" t="s">
        <v>24</v>
      </c>
      <c r="M403" s="17" t="s">
        <v>328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1" t="s">
        <v>20</v>
      </c>
      <c r="K404" s="3" t="n">
        <v>0.13</v>
      </c>
      <c r="L404" s="1" t="s">
        <v>20</v>
      </c>
      <c r="M404" s="17" t="s">
        <v>328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3" t="n">
        <v>60.0</v>
      </c>
      <c r="B405" s="4" t="n">
        <v>36.0</v>
      </c>
      <c r="C405" s="4" t="s">
        <v>324</v>
      </c>
      <c r="D405" s="1" t="s">
        <v>241</v>
      </c>
      <c r="E405" s="1" t="s">
        <v>325</v>
      </c>
      <c r="F405" s="1" t="s">
        <v>84</v>
      </c>
      <c r="G405" s="1" t="s">
        <v>36</v>
      </c>
      <c r="H405" s="1" t="s">
        <v>57</v>
      </c>
      <c r="I405" s="1" t="s">
        <v>333</v>
      </c>
      <c r="J405" s="1" t="s">
        <v>327</v>
      </c>
      <c r="K405" s="3" t="n">
        <v>0.31</v>
      </c>
      <c r="L405" s="1" t="s">
        <v>24</v>
      </c>
      <c r="M405" s="17" t="s">
        <v>328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1" t="s">
        <v>180</v>
      </c>
      <c r="K406" s="3" t="n">
        <v>0.02</v>
      </c>
      <c r="L406" s="1" t="s">
        <v>24</v>
      </c>
      <c r="M406" s="17" t="s">
        <v>328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1" t="s">
        <v>101</v>
      </c>
      <c r="K407" s="3" t="n">
        <v>0.01</v>
      </c>
      <c r="L407" s="1" t="s">
        <v>24</v>
      </c>
      <c r="M407" s="17" t="s">
        <v>328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1" t="s">
        <v>26</v>
      </c>
      <c r="K408" s="3" t="n">
        <v>0.13</v>
      </c>
      <c r="L408" s="1" t="s">
        <v>24</v>
      </c>
      <c r="M408" s="17" t="s">
        <v>328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1" t="s">
        <v>331</v>
      </c>
      <c r="K409" s="3" t="n">
        <v>0.1</v>
      </c>
      <c r="L409" s="1" t="s">
        <v>24</v>
      </c>
      <c r="M409" s="17" t="s">
        <v>328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1" t="s">
        <v>334</v>
      </c>
      <c r="K410" s="3" t="n">
        <v>0.02</v>
      </c>
      <c r="L410" s="1" t="s">
        <v>24</v>
      </c>
      <c r="M410" s="17" t="s">
        <v>328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1" t="s">
        <v>17</v>
      </c>
      <c r="K411" s="3" t="n">
        <v>0.16</v>
      </c>
      <c r="L411" s="1" t="s">
        <v>18</v>
      </c>
      <c r="M411" s="17" t="s">
        <v>328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1" t="s">
        <v>244</v>
      </c>
      <c r="K412" s="3" t="n">
        <v>0.04</v>
      </c>
      <c r="L412" s="17" t="s">
        <v>87</v>
      </c>
      <c r="M412" s="17" t="s">
        <v>328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1" t="s">
        <v>20</v>
      </c>
      <c r="K413" s="3" t="n">
        <v>0.21</v>
      </c>
      <c r="L413" s="1" t="s">
        <v>20</v>
      </c>
      <c r="M413" s="17" t="s">
        <v>328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3" t="n">
        <v>61.0</v>
      </c>
      <c r="B414" s="4" t="n">
        <v>36.0</v>
      </c>
      <c r="C414" s="4" t="s">
        <v>324</v>
      </c>
      <c r="D414" s="1" t="s">
        <v>241</v>
      </c>
      <c r="E414" s="1" t="s">
        <v>325</v>
      </c>
      <c r="F414" s="1" t="s">
        <v>84</v>
      </c>
      <c r="G414" s="1" t="s">
        <v>36</v>
      </c>
      <c r="H414" s="1" t="s">
        <v>57</v>
      </c>
      <c r="I414" s="1" t="s">
        <v>335</v>
      </c>
      <c r="J414" s="1" t="s">
        <v>327</v>
      </c>
      <c r="K414" s="3" t="n">
        <v>0.08</v>
      </c>
      <c r="L414" s="1" t="s">
        <v>24</v>
      </c>
      <c r="M414" s="17" t="s">
        <v>328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1" t="s">
        <v>180</v>
      </c>
      <c r="K415" s="3" t="n">
        <v>0.1</v>
      </c>
      <c r="L415" s="1" t="s">
        <v>24</v>
      </c>
      <c r="M415" s="17" t="s">
        <v>328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1" t="s">
        <v>332</v>
      </c>
      <c r="K416" s="3" t="n">
        <v>0.01</v>
      </c>
      <c r="L416" s="1" t="s">
        <v>24</v>
      </c>
      <c r="M416" s="17" t="s">
        <v>328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1" t="s">
        <v>101</v>
      </c>
      <c r="K417" s="3" t="n">
        <v>0.06</v>
      </c>
      <c r="L417" s="1" t="s">
        <v>24</v>
      </c>
      <c r="M417" s="17" t="s">
        <v>328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1" t="s">
        <v>26</v>
      </c>
      <c r="K418" s="3" t="n">
        <v>0.22</v>
      </c>
      <c r="L418" s="1" t="s">
        <v>24</v>
      </c>
      <c r="M418" s="17" t="s">
        <v>328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1" t="s">
        <v>123</v>
      </c>
      <c r="K419" s="3" t="n">
        <v>0.01</v>
      </c>
      <c r="L419" s="1" t="s">
        <v>24</v>
      </c>
      <c r="M419" s="17" t="s">
        <v>328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1" t="s">
        <v>23</v>
      </c>
      <c r="K420" s="3" t="n">
        <v>0.05</v>
      </c>
      <c r="L420" s="1" t="s">
        <v>24</v>
      </c>
      <c r="M420" s="17" t="s">
        <v>328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1" t="s">
        <v>331</v>
      </c>
      <c r="K421" s="3" t="n">
        <v>0.14</v>
      </c>
      <c r="L421" s="1" t="s">
        <v>24</v>
      </c>
      <c r="M421" s="17" t="s">
        <v>328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1" t="s">
        <v>17</v>
      </c>
      <c r="K422" s="3" t="n">
        <v>0.05</v>
      </c>
      <c r="L422" s="1" t="s">
        <v>18</v>
      </c>
      <c r="M422" s="17" t="s">
        <v>328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 t="s">
        <v>95</v>
      </c>
      <c r="K423" s="3" t="n">
        <v>0.02</v>
      </c>
      <c r="L423" s="1" t="s">
        <v>28</v>
      </c>
      <c r="M423" s="17" t="s">
        <v>328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1" t="s">
        <v>246</v>
      </c>
      <c r="K424" s="3" t="n">
        <v>0.03</v>
      </c>
      <c r="L424" s="1" t="s">
        <v>47</v>
      </c>
      <c r="M424" s="17" t="s">
        <v>328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1" t="s">
        <v>244</v>
      </c>
      <c r="K425" s="3" t="n">
        <v>0.08</v>
      </c>
      <c r="L425" s="17" t="s">
        <v>87</v>
      </c>
      <c r="M425" s="17" t="s">
        <v>328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1" t="s">
        <v>20</v>
      </c>
      <c r="K426" s="3" t="n">
        <v>0.15</v>
      </c>
      <c r="L426" s="1" t="s">
        <v>20</v>
      </c>
      <c r="M426" s="17" t="s">
        <v>328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3" t="n">
        <v>62.0</v>
      </c>
      <c r="B427" s="3" t="n">
        <v>37.0</v>
      </c>
      <c r="C427" s="4" t="s">
        <v>336</v>
      </c>
      <c r="D427" s="1" t="s">
        <v>337</v>
      </c>
      <c r="E427" s="4" t="s">
        <v>42</v>
      </c>
      <c r="F427" s="1" t="s">
        <v>43</v>
      </c>
      <c r="G427" s="1" t="s">
        <v>16</v>
      </c>
      <c r="H427" s="1" t="s">
        <v>338</v>
      </c>
      <c r="I427" s="4" t="n">
        <v>92.0</v>
      </c>
      <c r="J427" s="2" t="s">
        <v>109</v>
      </c>
      <c r="K427" s="3" t="n">
        <v>0.28</v>
      </c>
      <c r="L427" s="1" t="s">
        <v>47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 t="s">
        <v>339</v>
      </c>
      <c r="K428" s="3" t="n">
        <v>0.66</v>
      </c>
      <c r="L428" s="1" t="s">
        <v>24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 t="s">
        <v>53</v>
      </c>
      <c r="K429" s="3" t="n">
        <v>0.01</v>
      </c>
      <c r="L429" s="1" t="s">
        <v>24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 t="s">
        <v>130</v>
      </c>
      <c r="K430" s="3" t="n">
        <v>0.01</v>
      </c>
      <c r="L430" s="1" t="s">
        <v>24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1" t="s">
        <v>20</v>
      </c>
      <c r="K431" s="3" t="n">
        <v>0.04</v>
      </c>
      <c r="L431" s="1" t="s">
        <v>20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3" t="n">
        <v>63.0</v>
      </c>
      <c r="B432" s="3" t="n">
        <v>37.0</v>
      </c>
      <c r="C432" s="4" t="s">
        <v>336</v>
      </c>
      <c r="D432" s="1" t="s">
        <v>337</v>
      </c>
      <c r="E432" s="4" t="s">
        <v>42</v>
      </c>
      <c r="F432" s="1" t="s">
        <v>43</v>
      </c>
      <c r="G432" s="2" t="s">
        <v>44</v>
      </c>
      <c r="H432" s="1" t="s">
        <v>338</v>
      </c>
      <c r="I432" s="4" t="n">
        <v>92.0</v>
      </c>
      <c r="J432" s="2" t="s">
        <v>339</v>
      </c>
      <c r="K432" s="3" t="n">
        <v>0.76</v>
      </c>
      <c r="L432" s="1" t="s">
        <v>24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 t="s">
        <v>109</v>
      </c>
      <c r="K433" s="3" t="n">
        <v>0.16</v>
      </c>
      <c r="L433" s="1" t="s">
        <v>24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 t="s">
        <v>53</v>
      </c>
      <c r="K434" s="3" t="n">
        <v>0.04</v>
      </c>
      <c r="L434" s="1" t="s">
        <v>24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1" t="s">
        <v>20</v>
      </c>
      <c r="K435" s="3" t="n">
        <v>0.04</v>
      </c>
      <c r="L435" s="1" t="s">
        <v>20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3" t="n">
        <v>64.0</v>
      </c>
      <c r="B436" s="3" t="n">
        <v>38.0</v>
      </c>
      <c r="C436" s="4" t="s">
        <v>340</v>
      </c>
      <c r="D436" s="1" t="s">
        <v>341</v>
      </c>
      <c r="E436" s="4" t="s">
        <v>154</v>
      </c>
      <c r="F436" s="1" t="s">
        <v>35</v>
      </c>
      <c r="G436" s="1" t="s">
        <v>342</v>
      </c>
      <c r="H436" s="1" t="s">
        <v>343</v>
      </c>
      <c r="I436" s="4" t="n">
        <v>25.0</v>
      </c>
      <c r="J436" s="1" t="s">
        <v>58</v>
      </c>
      <c r="K436" s="1" t="s">
        <v>58</v>
      </c>
      <c r="L436" s="1" t="s">
        <v>58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3" t="n">
        <v>65.0</v>
      </c>
      <c r="B437" s="3" t="n">
        <v>39.0</v>
      </c>
      <c r="C437" s="4" t="s">
        <v>344</v>
      </c>
      <c r="D437" s="1" t="s">
        <v>345</v>
      </c>
      <c r="E437" s="4" t="s">
        <v>346</v>
      </c>
      <c r="F437" s="1" t="s">
        <v>35</v>
      </c>
      <c r="G437" s="1" t="s">
        <v>36</v>
      </c>
      <c r="H437" s="1" t="s">
        <v>57</v>
      </c>
      <c r="I437" s="4" t="n">
        <v>48.0</v>
      </c>
      <c r="J437" s="2" t="s">
        <v>28</v>
      </c>
      <c r="K437" s="3" t="n">
        <v>0.51</v>
      </c>
      <c r="L437" s="2" t="s">
        <v>28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 t="s">
        <v>24</v>
      </c>
      <c r="K438" s="3" t="n">
        <v>0.41</v>
      </c>
      <c r="L438" s="2" t="s">
        <v>24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 t="s">
        <v>47</v>
      </c>
      <c r="K439" s="3" t="n">
        <v>0.06</v>
      </c>
      <c r="L439" s="2" t="s">
        <v>47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1" t="s">
        <v>20</v>
      </c>
      <c r="K440" s="3" t="n">
        <v>0.02</v>
      </c>
      <c r="L440" s="1" t="s">
        <v>20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3" t="n">
        <v>66.0</v>
      </c>
      <c r="B441" s="3" t="n">
        <v>40.0</v>
      </c>
      <c r="C441" s="4" t="s">
        <v>347</v>
      </c>
      <c r="D441" s="1" t="s">
        <v>348</v>
      </c>
      <c r="E441" s="1" t="s">
        <v>349</v>
      </c>
      <c r="F441" s="1" t="s">
        <v>84</v>
      </c>
      <c r="G441" s="1" t="s">
        <v>44</v>
      </c>
      <c r="H441" s="1" t="s">
        <v>23</v>
      </c>
      <c r="I441" s="4" t="n">
        <v>52.0</v>
      </c>
      <c r="J441" s="2" t="s">
        <v>23</v>
      </c>
      <c r="K441" s="3" t="n">
        <v>0.71</v>
      </c>
      <c r="L441" s="1" t="s">
        <v>24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 t="s">
        <v>101</v>
      </c>
      <c r="K442" s="3" t="n">
        <v>0.04</v>
      </c>
      <c r="L442" s="1" t="s">
        <v>24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 t="s">
        <v>90</v>
      </c>
      <c r="K443" s="3" t="n">
        <v>0.01</v>
      </c>
      <c r="L443" s="1" t="s">
        <v>24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 t="s">
        <v>95</v>
      </c>
      <c r="K444" s="3" t="n">
        <v>0.07</v>
      </c>
      <c r="L444" s="1" t="s">
        <v>28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 t="s">
        <v>247</v>
      </c>
      <c r="K445" s="3" t="n">
        <v>0.01</v>
      </c>
      <c r="L445" s="1" t="s">
        <v>24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1" t="s">
        <v>20</v>
      </c>
      <c r="K446" s="3" t="n">
        <v>0.16</v>
      </c>
      <c r="L446" s="1" t="s">
        <v>20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3" t="n">
        <v>67.0</v>
      </c>
      <c r="B447" s="3" t="n">
        <v>41.0</v>
      </c>
      <c r="C447" s="4" t="s">
        <v>350</v>
      </c>
      <c r="D447" s="1" t="s">
        <v>351</v>
      </c>
      <c r="E447" s="1" t="s">
        <v>352</v>
      </c>
      <c r="F447" s="1" t="s">
        <v>15</v>
      </c>
      <c r="G447" s="1" t="s">
        <v>353</v>
      </c>
      <c r="H447" s="1" t="s">
        <v>57</v>
      </c>
      <c r="I447" s="4" t="n">
        <v>52.0</v>
      </c>
      <c r="J447" s="1" t="s">
        <v>58</v>
      </c>
      <c r="K447" s="1" t="s">
        <v>58</v>
      </c>
      <c r="L447" s="1" t="s">
        <v>58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3" t="n">
        <v>68.0</v>
      </c>
      <c r="B448" s="3" t="n">
        <v>42.0</v>
      </c>
      <c r="C448" s="4" t="s">
        <v>354</v>
      </c>
      <c r="D448" s="1" t="s">
        <v>355</v>
      </c>
      <c r="E448" s="4" t="s">
        <v>356</v>
      </c>
      <c r="F448" s="1" t="s">
        <v>43</v>
      </c>
      <c r="G448" s="1" t="s">
        <v>16</v>
      </c>
      <c r="H448" s="1" t="s">
        <v>357</v>
      </c>
      <c r="I448" s="4" t="n">
        <v>33.0</v>
      </c>
      <c r="J448" s="2" t="s">
        <v>358</v>
      </c>
      <c r="K448" s="3" t="n">
        <v>0.11</v>
      </c>
      <c r="L448" s="1" t="s">
        <v>24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 t="s">
        <v>359</v>
      </c>
      <c r="K449" s="3" t="n">
        <v>0.03</v>
      </c>
      <c r="L449" s="1" t="s">
        <v>24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 t="s">
        <v>360</v>
      </c>
      <c r="K450" s="3" t="n">
        <v>0.05</v>
      </c>
      <c r="L450" s="1" t="s">
        <v>24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 t="s">
        <v>361</v>
      </c>
      <c r="K451" s="3" t="n">
        <v>0.05</v>
      </c>
      <c r="L451" s="1" t="s">
        <v>24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 t="s">
        <v>357</v>
      </c>
      <c r="K452" s="3" t="n">
        <v>0.28</v>
      </c>
      <c r="L452" s="1" t="s">
        <v>24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 t="s">
        <v>362</v>
      </c>
      <c r="K453" s="3" t="n">
        <v>0.12</v>
      </c>
      <c r="L453" s="1" t="s">
        <v>24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 t="s">
        <v>363</v>
      </c>
      <c r="K454" s="3" t="n">
        <v>0.04</v>
      </c>
      <c r="L454" s="1" t="s">
        <v>24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 t="s">
        <v>52</v>
      </c>
      <c r="K455" s="3" t="n">
        <v>0.07</v>
      </c>
      <c r="L455" s="1" t="s">
        <v>24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 t="s">
        <v>364</v>
      </c>
      <c r="K456" s="3" t="n">
        <v>0.1</v>
      </c>
      <c r="L456" s="1" t="s">
        <v>24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 t="s">
        <v>365</v>
      </c>
      <c r="K457" s="3" t="n">
        <v>0.02</v>
      </c>
      <c r="L457" s="1" t="s">
        <v>24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 t="s">
        <v>366</v>
      </c>
      <c r="K458" s="3" t="n">
        <v>0.04</v>
      </c>
      <c r="L458" s="1" t="s">
        <v>24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1" t="s">
        <v>20</v>
      </c>
      <c r="K459" s="3" t="n">
        <v>0.09</v>
      </c>
      <c r="L459" s="1" t="s">
        <v>20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3" t="n">
        <v>69.0</v>
      </c>
      <c r="B460" s="3" t="n">
        <v>42.0</v>
      </c>
      <c r="C460" s="4" t="s">
        <v>354</v>
      </c>
      <c r="D460" s="1" t="s">
        <v>355</v>
      </c>
      <c r="E460" s="4" t="s">
        <v>356</v>
      </c>
      <c r="F460" s="1" t="s">
        <v>43</v>
      </c>
      <c r="G460" s="2" t="s">
        <v>22</v>
      </c>
      <c r="H460" s="1" t="s">
        <v>357</v>
      </c>
      <c r="I460" s="4" t="n">
        <v>33.0</v>
      </c>
      <c r="J460" s="4" t="s">
        <v>358</v>
      </c>
      <c r="K460" s="3" t="n">
        <v>0.32</v>
      </c>
      <c r="L460" s="1" t="s">
        <v>24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4" t="s">
        <v>359</v>
      </c>
      <c r="K461" s="3" t="n">
        <v>0.01</v>
      </c>
      <c r="L461" s="1" t="s">
        <v>24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4" t="s">
        <v>360</v>
      </c>
      <c r="K462" s="3" t="n">
        <v>0.03</v>
      </c>
      <c r="L462" s="1" t="s">
        <v>24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4" t="s">
        <v>361</v>
      </c>
      <c r="K463" s="3" t="n">
        <v>0.05</v>
      </c>
      <c r="L463" s="1" t="s">
        <v>24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4" t="s">
        <v>357</v>
      </c>
      <c r="K464" s="3" t="n">
        <v>0.2</v>
      </c>
      <c r="L464" s="1" t="s">
        <v>24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4" t="s">
        <v>362</v>
      </c>
      <c r="K465" s="3" t="n">
        <v>0.1</v>
      </c>
      <c r="L465" s="1" t="s">
        <v>24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4" t="s">
        <v>363</v>
      </c>
      <c r="K466" s="3" t="n">
        <v>0.01</v>
      </c>
      <c r="L466" s="1" t="s">
        <v>24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4" t="s">
        <v>52</v>
      </c>
      <c r="K467" s="3" t="n">
        <v>0.01</v>
      </c>
      <c r="L467" s="1" t="s">
        <v>24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4" t="s">
        <v>364</v>
      </c>
      <c r="K468" s="3" t="n">
        <v>0.17</v>
      </c>
      <c r="L468" s="1" t="s">
        <v>24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1" t="s">
        <v>20</v>
      </c>
      <c r="K469" s="3" t="n">
        <v>0.1</v>
      </c>
      <c r="L469" s="1" t="s">
        <v>20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3" t="n">
        <v>70.0</v>
      </c>
      <c r="B470" s="3" t="n">
        <v>42.0</v>
      </c>
      <c r="C470" s="4" t="s">
        <v>354</v>
      </c>
      <c r="D470" s="1" t="s">
        <v>355</v>
      </c>
      <c r="E470" s="4" t="s">
        <v>356</v>
      </c>
      <c r="F470" s="1" t="s">
        <v>43</v>
      </c>
      <c r="G470" s="2" t="s">
        <v>44</v>
      </c>
      <c r="H470" s="1" t="s">
        <v>357</v>
      </c>
      <c r="I470" s="4" t="n">
        <v>33.0</v>
      </c>
      <c r="J470" s="2" t="s">
        <v>358</v>
      </c>
      <c r="K470" s="3" t="n">
        <v>0.17</v>
      </c>
      <c r="L470" s="1" t="s">
        <v>24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 t="s">
        <v>360</v>
      </c>
      <c r="K471" s="3" t="n">
        <v>0.1</v>
      </c>
      <c r="L471" s="1" t="s">
        <v>24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 t="s">
        <v>357</v>
      </c>
      <c r="K472" s="3" t="n">
        <v>0.17</v>
      </c>
      <c r="L472" s="1" t="s">
        <v>24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 t="s">
        <v>362</v>
      </c>
      <c r="K473" s="3" t="n">
        <v>0.2</v>
      </c>
      <c r="L473" s="1" t="s">
        <v>24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 t="s">
        <v>52</v>
      </c>
      <c r="K474" s="3" t="n">
        <v>0.06</v>
      </c>
      <c r="L474" s="1" t="s">
        <v>24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 t="s">
        <v>364</v>
      </c>
      <c r="K475" s="3" t="n">
        <v>0.06</v>
      </c>
      <c r="L475" s="1" t="s">
        <v>24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1" t="s">
        <v>20</v>
      </c>
      <c r="K476" s="3" t="n">
        <v>0.24</v>
      </c>
      <c r="L476" s="1" t="s">
        <v>20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3" t="n">
        <v>71.0</v>
      </c>
      <c r="B477" s="3" t="n">
        <v>42.0</v>
      </c>
      <c r="C477" s="4" t="s">
        <v>354</v>
      </c>
      <c r="D477" s="1" t="s">
        <v>355</v>
      </c>
      <c r="E477" s="4" t="s">
        <v>356</v>
      </c>
      <c r="F477" s="1" t="s">
        <v>43</v>
      </c>
      <c r="G477" s="2" t="s">
        <v>216</v>
      </c>
      <c r="H477" s="1" t="s">
        <v>357</v>
      </c>
      <c r="I477" s="4" t="n">
        <v>33.0</v>
      </c>
      <c r="J477" s="4" t="s">
        <v>358</v>
      </c>
      <c r="K477" s="3" t="n">
        <v>0.06</v>
      </c>
      <c r="L477" s="1" t="s">
        <v>24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4" t="s">
        <v>359</v>
      </c>
      <c r="K478" s="3" t="n">
        <v>0.02</v>
      </c>
      <c r="L478" s="1" t="s">
        <v>24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4" t="s">
        <v>360</v>
      </c>
      <c r="K479" s="3" t="n">
        <v>0.11</v>
      </c>
      <c r="L479" s="1" t="s">
        <v>24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4" t="s">
        <v>361</v>
      </c>
      <c r="K480" s="3" t="n">
        <v>0.01</v>
      </c>
      <c r="L480" s="1" t="s">
        <v>24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4" t="s">
        <v>357</v>
      </c>
      <c r="K481" s="3" t="n">
        <v>0.21</v>
      </c>
      <c r="L481" s="1" t="s">
        <v>24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4" t="s">
        <v>362</v>
      </c>
      <c r="K482" s="3" t="n">
        <v>0.18</v>
      </c>
      <c r="L482" s="1" t="s">
        <v>24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4" t="s">
        <v>363</v>
      </c>
      <c r="K483" s="3" t="n">
        <v>0.01</v>
      </c>
      <c r="L483" s="1" t="s">
        <v>24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4" t="s">
        <v>52</v>
      </c>
      <c r="K484" s="3" t="n">
        <v>0.04</v>
      </c>
      <c r="L484" s="1" t="s">
        <v>24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4" t="s">
        <v>364</v>
      </c>
      <c r="K485" s="3" t="n">
        <v>0.05</v>
      </c>
      <c r="L485" s="1" t="s">
        <v>24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1" t="s">
        <v>20</v>
      </c>
      <c r="K486" s="3" t="n">
        <v>0.31</v>
      </c>
      <c r="L486" s="1" t="s">
        <v>20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3" t="n">
        <v>72.0</v>
      </c>
      <c r="B487" s="3" t="n">
        <v>43.0</v>
      </c>
      <c r="C487" s="4" t="s">
        <v>367</v>
      </c>
      <c r="D487" s="1" t="s">
        <v>368</v>
      </c>
      <c r="E487" s="4" t="s">
        <v>369</v>
      </c>
      <c r="F487" s="1" t="s">
        <v>35</v>
      </c>
      <c r="G487" s="1" t="s">
        <v>44</v>
      </c>
      <c r="H487" s="4" t="s">
        <v>221</v>
      </c>
      <c r="I487" s="13" t="s">
        <v>292</v>
      </c>
      <c r="J487" s="1" t="s">
        <v>58</v>
      </c>
      <c r="K487" s="1" t="s">
        <v>58</v>
      </c>
      <c r="L487" s="1" t="s">
        <v>58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3" t="n">
        <v>73.0</v>
      </c>
      <c r="B488" s="3" t="n">
        <v>44.0</v>
      </c>
      <c r="C488" s="4" t="s">
        <v>370</v>
      </c>
      <c r="D488" s="1" t="s">
        <v>371</v>
      </c>
      <c r="E488" s="4" t="s">
        <v>99</v>
      </c>
      <c r="F488" s="1" t="s">
        <v>35</v>
      </c>
      <c r="G488" s="1" t="s">
        <v>372</v>
      </c>
      <c r="H488" s="1" t="s">
        <v>57</v>
      </c>
      <c r="I488" s="13" t="s">
        <v>292</v>
      </c>
      <c r="J488" s="1" t="s">
        <v>58</v>
      </c>
      <c r="K488" s="1" t="s">
        <v>58</v>
      </c>
      <c r="L488" s="1" t="s">
        <v>58</v>
      </c>
      <c r="M488" s="17" t="s">
        <v>373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3" t="n">
        <v>74.0</v>
      </c>
      <c r="B489" s="3" t="n">
        <v>45.0</v>
      </c>
      <c r="C489" s="4" t="s">
        <v>374</v>
      </c>
      <c r="D489" s="1" t="s">
        <v>375</v>
      </c>
      <c r="E489" s="4" t="s">
        <v>376</v>
      </c>
      <c r="F489" s="1" t="s">
        <v>35</v>
      </c>
      <c r="G489" s="1" t="s">
        <v>36</v>
      </c>
      <c r="H489" s="1" t="s">
        <v>377</v>
      </c>
      <c r="I489" s="13" t="s">
        <v>292</v>
      </c>
      <c r="J489" s="2" t="s">
        <v>254</v>
      </c>
      <c r="K489" s="3" t="n">
        <v>0.67</v>
      </c>
      <c r="L489" s="1" t="s">
        <v>24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1" t="s">
        <v>20</v>
      </c>
      <c r="K490" s="3" t="n">
        <v>0.33</v>
      </c>
      <c r="L490" s="1" t="s">
        <v>20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3" t="n">
        <v>75.0</v>
      </c>
      <c r="B491" s="3" t="n">
        <v>46.0</v>
      </c>
      <c r="C491" s="1" t="s">
        <v>378</v>
      </c>
      <c r="D491" s="1" t="s">
        <v>379</v>
      </c>
      <c r="E491" s="1" t="s">
        <v>380</v>
      </c>
      <c r="F491" s="1" t="s">
        <v>35</v>
      </c>
      <c r="G491" s="1" t="s">
        <v>16</v>
      </c>
      <c r="H491" s="1" t="s">
        <v>381</v>
      </c>
      <c r="I491" s="4" t="n">
        <v>49.0</v>
      </c>
      <c r="J491" s="1" t="s">
        <v>58</v>
      </c>
      <c r="K491" s="1" t="s">
        <v>58</v>
      </c>
      <c r="L491" s="1" t="s">
        <v>58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3" t="n">
        <v>76.0</v>
      </c>
      <c r="B492" s="3" t="n">
        <v>47.0</v>
      </c>
      <c r="C492" s="21" t="s">
        <v>382</v>
      </c>
      <c r="D492" s="21" t="s">
        <v>383</v>
      </c>
      <c r="E492" s="21" t="s">
        <v>56</v>
      </c>
      <c r="F492" s="1" t="s">
        <v>15</v>
      </c>
      <c r="G492" s="1" t="s">
        <v>22</v>
      </c>
      <c r="H492" s="1" t="s">
        <v>17</v>
      </c>
      <c r="I492" s="4" t="n">
        <v>11.0</v>
      </c>
      <c r="J492" s="1" t="s">
        <v>17</v>
      </c>
      <c r="K492" s="3" t="n">
        <v>0.45</v>
      </c>
      <c r="L492" s="1" t="s">
        <v>18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1" t="s">
        <v>174</v>
      </c>
      <c r="K493" s="3" t="n">
        <v>0.31</v>
      </c>
      <c r="L493" s="1" t="s">
        <v>24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1" t="s">
        <v>186</v>
      </c>
      <c r="K494" s="3" t="n">
        <v>0.13</v>
      </c>
      <c r="L494" s="1" t="s">
        <v>24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1" t="s">
        <v>20</v>
      </c>
      <c r="K495" s="3" t="n">
        <v>0.11</v>
      </c>
      <c r="L495" s="1" t="s">
        <v>20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3" t="n">
        <v>77.0</v>
      </c>
      <c r="B496" s="3" t="n">
        <v>47.0</v>
      </c>
      <c r="C496" s="21" t="s">
        <v>382</v>
      </c>
      <c r="D496" s="21" t="s">
        <v>383</v>
      </c>
      <c r="E496" s="21" t="s">
        <v>59</v>
      </c>
      <c r="F496" s="1" t="s">
        <v>15</v>
      </c>
      <c r="G496" s="1" t="s">
        <v>22</v>
      </c>
      <c r="H496" s="1" t="s">
        <v>17</v>
      </c>
      <c r="I496" s="4" t="n">
        <v>11.0</v>
      </c>
      <c r="J496" s="1" t="s">
        <v>17</v>
      </c>
      <c r="K496" s="3" t="n">
        <v>0.55</v>
      </c>
      <c r="L496" s="1" t="s">
        <v>18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1" t="s">
        <v>174</v>
      </c>
      <c r="K497" s="3" t="n">
        <v>0.28</v>
      </c>
      <c r="L497" s="1" t="s">
        <v>24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1" t="s">
        <v>186</v>
      </c>
      <c r="K498" s="3" t="n">
        <v>0.03</v>
      </c>
      <c r="L498" s="1" t="s">
        <v>24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1" t="s">
        <v>20</v>
      </c>
      <c r="K499" s="3" t="n">
        <v>0.14</v>
      </c>
      <c r="L499" s="1" t="s">
        <v>20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3" t="n">
        <v>78.0</v>
      </c>
      <c r="B500" s="3" t="n">
        <v>47.0</v>
      </c>
      <c r="C500" s="21" t="s">
        <v>382</v>
      </c>
      <c r="D500" s="21" t="s">
        <v>383</v>
      </c>
      <c r="E500" s="21" t="s">
        <v>60</v>
      </c>
      <c r="F500" s="1" t="s">
        <v>15</v>
      </c>
      <c r="G500" s="1" t="s">
        <v>22</v>
      </c>
      <c r="H500" s="1" t="s">
        <v>17</v>
      </c>
      <c r="I500" s="3" t="n">
        <v>9.0</v>
      </c>
      <c r="J500" s="1" t="s">
        <v>17</v>
      </c>
      <c r="K500" s="3" t="n">
        <v>0.68</v>
      </c>
      <c r="L500" s="1" t="s">
        <v>18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1" t="s">
        <v>174</v>
      </c>
      <c r="K501" s="3" t="n">
        <v>0.12</v>
      </c>
      <c r="L501" s="1" t="s">
        <v>24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1" t="s">
        <v>186</v>
      </c>
      <c r="K502" s="3" t="n">
        <v>0.05</v>
      </c>
      <c r="L502" s="1" t="s">
        <v>24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1" t="s">
        <v>20</v>
      </c>
      <c r="K503" s="3" t="n">
        <v>0.15</v>
      </c>
      <c r="L503" s="1" t="s">
        <v>20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3" t="n">
        <v>79.0</v>
      </c>
      <c r="B504" s="3" t="n">
        <v>48.0</v>
      </c>
      <c r="C504" s="22" t="s">
        <v>384</v>
      </c>
      <c r="D504" s="22" t="s">
        <v>385</v>
      </c>
      <c r="E504" s="22" t="s">
        <v>386</v>
      </c>
      <c r="F504" s="22" t="s">
        <v>84</v>
      </c>
      <c r="G504" s="22" t="s">
        <v>387</v>
      </c>
      <c r="H504" s="22" t="s">
        <v>57</v>
      </c>
      <c r="I504" s="23" t="n">
        <v>78.0</v>
      </c>
      <c r="J504" s="1" t="s">
        <v>58</v>
      </c>
      <c r="K504" s="1" t="s">
        <v>58</v>
      </c>
      <c r="L504" s="1" t="s">
        <v>58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3" t="n">
        <v>80.0</v>
      </c>
      <c r="B505" s="3" t="n">
        <v>49.0</v>
      </c>
      <c r="C505" s="4" t="s">
        <v>388</v>
      </c>
      <c r="D505" s="1" t="s">
        <v>389</v>
      </c>
      <c r="E505" s="4" t="s">
        <v>390</v>
      </c>
      <c r="F505" s="1" t="s">
        <v>35</v>
      </c>
      <c r="G505" s="1" t="s">
        <v>391</v>
      </c>
      <c r="H505" s="4" t="s">
        <v>392</v>
      </c>
      <c r="I505" s="4" t="n">
        <v>26.0</v>
      </c>
      <c r="J505" s="1" t="s">
        <v>58</v>
      </c>
      <c r="K505" s="1" t="s">
        <v>58</v>
      </c>
      <c r="L505" s="1" t="s">
        <v>58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3" t="n">
        <v>81.0</v>
      </c>
      <c r="B506" s="3" t="n">
        <v>50.0</v>
      </c>
      <c r="C506" s="4" t="s">
        <v>393</v>
      </c>
      <c r="D506" s="1" t="s">
        <v>394</v>
      </c>
      <c r="E506" s="4" t="s">
        <v>395</v>
      </c>
      <c r="F506" s="1" t="s">
        <v>35</v>
      </c>
      <c r="G506" s="1" t="s">
        <v>372</v>
      </c>
      <c r="H506" s="1" t="s">
        <v>396</v>
      </c>
      <c r="I506" s="13" t="s">
        <v>292</v>
      </c>
      <c r="J506" s="1" t="s">
        <v>58</v>
      </c>
      <c r="K506" s="1" t="s">
        <v>58</v>
      </c>
      <c r="L506" s="1" t="s">
        <v>58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3" t="n">
        <v>82.0</v>
      </c>
      <c r="B507" s="3" t="n">
        <v>51.0</v>
      </c>
      <c r="C507" s="4" t="s">
        <v>397</v>
      </c>
      <c r="D507" s="1" t="s">
        <v>348</v>
      </c>
      <c r="E507" s="4" t="s">
        <v>398</v>
      </c>
      <c r="F507" s="1" t="s">
        <v>15</v>
      </c>
      <c r="G507" s="1" t="s">
        <v>44</v>
      </c>
      <c r="H507" s="1" t="s">
        <v>399</v>
      </c>
      <c r="I507" s="4" t="n">
        <v>59.0</v>
      </c>
      <c r="J507" s="2" t="s">
        <v>400</v>
      </c>
      <c r="K507" s="3" t="n">
        <v>0.19</v>
      </c>
      <c r="L507" s="1" t="s">
        <v>24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 t="s">
        <v>95</v>
      </c>
      <c r="K508" s="3" t="n">
        <v>0.04</v>
      </c>
      <c r="L508" s="1" t="s">
        <v>28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 t="s">
        <v>94</v>
      </c>
      <c r="K509" s="3" t="n">
        <v>0.06</v>
      </c>
      <c r="L509" s="1" t="s">
        <v>47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 t="s">
        <v>119</v>
      </c>
      <c r="K510" s="3" t="n">
        <v>0.08</v>
      </c>
      <c r="L510" s="1" t="s">
        <v>18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 t="s">
        <v>401</v>
      </c>
      <c r="K511" s="3" t="n">
        <v>0.22</v>
      </c>
      <c r="L511" s="1" t="s">
        <v>18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1" t="s">
        <v>20</v>
      </c>
      <c r="K512" s="3" t="n">
        <v>0.41</v>
      </c>
      <c r="L512" s="1" t="s">
        <v>20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3" t="n">
        <v>83.0</v>
      </c>
      <c r="B513" s="3" t="n">
        <v>52.0</v>
      </c>
      <c r="C513" s="1" t="s">
        <v>402</v>
      </c>
      <c r="D513" s="1" t="s">
        <v>403</v>
      </c>
      <c r="E513" s="4" t="s">
        <v>404</v>
      </c>
      <c r="F513" s="1" t="s">
        <v>84</v>
      </c>
      <c r="G513" s="1" t="s">
        <v>36</v>
      </c>
      <c r="H513" s="1" t="s">
        <v>57</v>
      </c>
      <c r="I513" s="4" t="n">
        <v>29.0</v>
      </c>
      <c r="J513" s="1" t="s">
        <v>58</v>
      </c>
      <c r="K513" s="1" t="s">
        <v>58</v>
      </c>
      <c r="L513" s="1" t="s">
        <v>58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</sheetData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2021-05-14T01:46:02Z</dcterms:created>
  <dc:creator>Tencent Document</dc:creator>
  <cp:lastModifiedBy>Tencent Document</cp:lastModifiedBy>
</cp:coreProperties>
</file>